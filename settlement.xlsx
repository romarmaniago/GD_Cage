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ar\Desktop\"/>
    </mc:Choice>
  </mc:AlternateContent>
  <xr:revisionPtr revIDLastSave="0" documentId="8_{3D6060F8-FC36-4AB6-8AEA-E7110B0E5649}" xr6:coauthVersionLast="47" xr6:coauthVersionMax="47" xr10:uidLastSave="{00000000-0000-0000-0000-000000000000}"/>
  <bookViews>
    <workbookView xWindow="-120" yWindow="-120" windowWidth="29040" windowHeight="15720" xr2:uid="{9288F507-C461-4295-9E70-5AFBA9569535}"/>
  </bookViews>
  <sheets>
    <sheet name="Rolling Calculator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F3" i="1"/>
  <c r="G3" i="1"/>
  <c r="H3" i="1"/>
  <c r="I3" i="1"/>
  <c r="J3" i="1"/>
  <c r="L3" i="1"/>
  <c r="N3" i="1"/>
  <c r="O3" i="1"/>
  <c r="P3" i="1"/>
  <c r="Q3" i="1"/>
  <c r="G38" i="1" s="1"/>
  <c r="K4" i="1"/>
  <c r="K3" i="1" s="1"/>
  <c r="M4" i="1"/>
  <c r="M3" i="1" s="1"/>
  <c r="K5" i="1"/>
  <c r="M5" i="1"/>
  <c r="K6" i="1"/>
  <c r="M6" i="1"/>
  <c r="K7" i="1"/>
  <c r="E47" i="1" s="1"/>
  <c r="M7" i="1"/>
  <c r="G47" i="1" s="1"/>
  <c r="K8" i="1"/>
  <c r="E48" i="1" s="1"/>
  <c r="M8" i="1"/>
  <c r="G48" i="1" s="1"/>
  <c r="K9" i="1"/>
  <c r="E49" i="1" s="1"/>
  <c r="M9" i="1"/>
  <c r="G49" i="1" s="1"/>
  <c r="K10" i="1"/>
  <c r="E50" i="1" s="1"/>
  <c r="M10" i="1"/>
  <c r="G50" i="1" s="1"/>
  <c r="K11" i="1"/>
  <c r="E51" i="1" s="1"/>
  <c r="M11" i="1"/>
  <c r="G51" i="1" s="1"/>
  <c r="K12" i="1"/>
  <c r="E52" i="1" s="1"/>
  <c r="M12" i="1"/>
  <c r="G52" i="1" s="1"/>
  <c r="K13" i="1"/>
  <c r="E53" i="1" s="1"/>
  <c r="M13" i="1"/>
  <c r="G53" i="1" s="1"/>
  <c r="K14" i="1"/>
  <c r="E54" i="1" s="1"/>
  <c r="M14" i="1"/>
  <c r="G54" i="1" s="1"/>
  <c r="K15" i="1"/>
  <c r="E55" i="1" s="1"/>
  <c r="M15" i="1"/>
  <c r="G55" i="1" s="1"/>
  <c r="K16" i="1"/>
  <c r="E56" i="1" s="1"/>
  <c r="M16" i="1"/>
  <c r="G56" i="1" s="1"/>
  <c r="K17" i="1"/>
  <c r="E57" i="1" s="1"/>
  <c r="M17" i="1"/>
  <c r="G57" i="1" s="1"/>
  <c r="K18" i="1"/>
  <c r="E58" i="1" s="1"/>
  <c r="M18" i="1"/>
  <c r="G58" i="1" s="1"/>
  <c r="K19" i="1"/>
  <c r="E59" i="1" s="1"/>
  <c r="M19" i="1"/>
  <c r="G59" i="1" s="1"/>
  <c r="K20" i="1"/>
  <c r="E60" i="1" s="1"/>
  <c r="M20" i="1"/>
  <c r="G60" i="1" s="1"/>
  <c r="K21" i="1"/>
  <c r="E61" i="1" s="1"/>
  <c r="M21" i="1"/>
  <c r="G61" i="1" s="1"/>
  <c r="A26" i="1"/>
  <c r="F26" i="1"/>
  <c r="G26" i="1"/>
  <c r="I26" i="1"/>
  <c r="B27" i="1"/>
  <c r="L27" i="1"/>
  <c r="N27" i="1"/>
  <c r="Q27" i="1"/>
  <c r="S27" i="1"/>
  <c r="B28" i="1"/>
  <c r="F28" i="1"/>
  <c r="G28" i="1"/>
  <c r="J28" i="1"/>
  <c r="M28" i="1"/>
  <c r="O28" i="1"/>
  <c r="R28" i="1"/>
  <c r="T28" i="1"/>
  <c r="B29" i="1"/>
  <c r="M29" i="1"/>
  <c r="O29" i="1"/>
  <c r="R29" i="1"/>
  <c r="T29" i="1"/>
  <c r="B30" i="1"/>
  <c r="D30" i="1"/>
  <c r="G30" i="1"/>
  <c r="E28" i="1" s="1"/>
  <c r="D28" i="1" s="1"/>
  <c r="M30" i="1"/>
  <c r="O30" i="1"/>
  <c r="R30" i="1"/>
  <c r="T30" i="1"/>
  <c r="B31" i="1"/>
  <c r="G31" i="1"/>
  <c r="M31" i="1"/>
  <c r="O31" i="1"/>
  <c r="R31" i="1"/>
  <c r="T31" i="1"/>
  <c r="G32" i="1"/>
  <c r="M32" i="1"/>
  <c r="O32" i="1"/>
  <c r="R32" i="1"/>
  <c r="T32" i="1"/>
  <c r="B33" i="1"/>
  <c r="G33" i="1"/>
  <c r="G34" i="1"/>
  <c r="M34" i="1"/>
  <c r="M35" i="1" s="1"/>
  <c r="O34" i="1"/>
  <c r="R34" i="1"/>
  <c r="R35" i="1" s="1"/>
  <c r="T34" i="1"/>
  <c r="B35" i="1"/>
  <c r="F35" i="1"/>
  <c r="G35" i="1" s="1"/>
  <c r="G37" i="1" s="1"/>
  <c r="F36" i="1"/>
  <c r="G36" i="1"/>
  <c r="E38" i="1"/>
  <c r="A44" i="1"/>
  <c r="B44" i="1"/>
  <c r="C44" i="1"/>
  <c r="D44" i="1"/>
  <c r="E44" i="1"/>
  <c r="F44" i="1"/>
  <c r="G44" i="1"/>
  <c r="H44" i="1"/>
  <c r="I44" i="1"/>
  <c r="J44" i="1"/>
  <c r="K44" i="1"/>
  <c r="A45" i="1"/>
  <c r="B45" i="1"/>
  <c r="C45" i="1"/>
  <c r="D45" i="1"/>
  <c r="E45" i="1"/>
  <c r="F45" i="1"/>
  <c r="G45" i="1"/>
  <c r="H45" i="1"/>
  <c r="I45" i="1"/>
  <c r="J45" i="1"/>
  <c r="K45" i="1"/>
  <c r="A46" i="1"/>
  <c r="B46" i="1"/>
  <c r="C46" i="1"/>
  <c r="D46" i="1"/>
  <c r="E46" i="1"/>
  <c r="F46" i="1"/>
  <c r="G46" i="1"/>
  <c r="H46" i="1"/>
  <c r="I46" i="1"/>
  <c r="J46" i="1"/>
  <c r="K46" i="1"/>
  <c r="A47" i="1"/>
  <c r="B47" i="1"/>
  <c r="C47" i="1"/>
  <c r="D47" i="1"/>
  <c r="F47" i="1"/>
  <c r="H47" i="1"/>
  <c r="I47" i="1"/>
  <c r="J47" i="1"/>
  <c r="K47" i="1"/>
  <c r="A48" i="1"/>
  <c r="B48" i="1"/>
  <c r="C48" i="1"/>
  <c r="D48" i="1"/>
  <c r="F48" i="1"/>
  <c r="H48" i="1"/>
  <c r="I48" i="1"/>
  <c r="J48" i="1"/>
  <c r="K48" i="1"/>
  <c r="A49" i="1"/>
  <c r="B49" i="1"/>
  <c r="C49" i="1"/>
  <c r="D49" i="1"/>
  <c r="F49" i="1"/>
  <c r="H49" i="1"/>
  <c r="I49" i="1"/>
  <c r="J49" i="1"/>
  <c r="K49" i="1"/>
  <c r="A50" i="1"/>
  <c r="B50" i="1"/>
  <c r="C50" i="1"/>
  <c r="D50" i="1"/>
  <c r="F50" i="1"/>
  <c r="H50" i="1"/>
  <c r="I50" i="1"/>
  <c r="J50" i="1"/>
  <c r="K50" i="1"/>
  <c r="A51" i="1"/>
  <c r="B51" i="1"/>
  <c r="C51" i="1"/>
  <c r="D51" i="1"/>
  <c r="F51" i="1"/>
  <c r="H51" i="1"/>
  <c r="I51" i="1"/>
  <c r="J51" i="1"/>
  <c r="K51" i="1"/>
  <c r="A52" i="1"/>
  <c r="B52" i="1"/>
  <c r="C52" i="1"/>
  <c r="D52" i="1"/>
  <c r="F52" i="1"/>
  <c r="H52" i="1"/>
  <c r="I52" i="1"/>
  <c r="J52" i="1"/>
  <c r="K52" i="1"/>
  <c r="A53" i="1"/>
  <c r="B53" i="1"/>
  <c r="C53" i="1"/>
  <c r="D53" i="1"/>
  <c r="F53" i="1"/>
  <c r="H53" i="1"/>
  <c r="I53" i="1"/>
  <c r="J53" i="1"/>
  <c r="K53" i="1"/>
  <c r="A54" i="1"/>
  <c r="B54" i="1"/>
  <c r="C54" i="1"/>
  <c r="D54" i="1"/>
  <c r="F54" i="1"/>
  <c r="H54" i="1"/>
  <c r="I54" i="1"/>
  <c r="J54" i="1"/>
  <c r="K54" i="1"/>
  <c r="A55" i="1"/>
  <c r="B55" i="1"/>
  <c r="C55" i="1"/>
  <c r="D55" i="1"/>
  <c r="F55" i="1"/>
  <c r="H55" i="1"/>
  <c r="I55" i="1"/>
  <c r="J55" i="1"/>
  <c r="K55" i="1"/>
  <c r="A56" i="1"/>
  <c r="B56" i="1"/>
  <c r="C56" i="1"/>
  <c r="D56" i="1"/>
  <c r="F56" i="1"/>
  <c r="H56" i="1"/>
  <c r="I56" i="1"/>
  <c r="J56" i="1"/>
  <c r="K56" i="1"/>
  <c r="A57" i="1"/>
  <c r="B57" i="1"/>
  <c r="C57" i="1"/>
  <c r="D57" i="1"/>
  <c r="F57" i="1"/>
  <c r="H57" i="1"/>
  <c r="I57" i="1"/>
  <c r="J57" i="1"/>
  <c r="K57" i="1"/>
  <c r="A58" i="1"/>
  <c r="B58" i="1"/>
  <c r="C58" i="1"/>
  <c r="D58" i="1"/>
  <c r="F58" i="1"/>
  <c r="H58" i="1"/>
  <c r="I58" i="1"/>
  <c r="J58" i="1"/>
  <c r="K58" i="1"/>
  <c r="A59" i="1"/>
  <c r="B59" i="1"/>
  <c r="C59" i="1"/>
  <c r="D59" i="1"/>
  <c r="F59" i="1"/>
  <c r="H59" i="1"/>
  <c r="I59" i="1"/>
  <c r="J59" i="1"/>
  <c r="K59" i="1"/>
  <c r="A60" i="1"/>
  <c r="B60" i="1"/>
  <c r="C60" i="1"/>
  <c r="D60" i="1"/>
  <c r="F60" i="1"/>
  <c r="H60" i="1"/>
  <c r="I60" i="1"/>
  <c r="J60" i="1"/>
  <c r="K60" i="1"/>
  <c r="A61" i="1"/>
  <c r="B61" i="1"/>
  <c r="C61" i="1"/>
  <c r="D61" i="1"/>
  <c r="F61" i="1"/>
  <c r="H61" i="1"/>
  <c r="I61" i="1"/>
  <c r="J61" i="1"/>
  <c r="K61" i="1"/>
  <c r="C62" i="1"/>
  <c r="D62" i="1"/>
  <c r="F62" i="1"/>
  <c r="H62" i="1"/>
  <c r="I62" i="1"/>
  <c r="J62" i="1"/>
  <c r="K62" i="1"/>
  <c r="C84" i="1"/>
  <c r="D84" i="1"/>
  <c r="E84" i="1"/>
  <c r="F84" i="1"/>
  <c r="G84" i="1"/>
  <c r="H84" i="1"/>
  <c r="I84" i="1"/>
  <c r="J84" i="1"/>
  <c r="K84" i="1"/>
  <c r="F27" i="1" l="1"/>
  <c r="G27" i="1"/>
  <c r="R36" i="1"/>
  <c r="M36" i="1"/>
  <c r="B36" i="1"/>
  <c r="M37" i="1"/>
  <c r="R37" i="1"/>
  <c r="M38" i="1"/>
  <c r="R38" i="1"/>
  <c r="B37" i="1"/>
  <c r="T33" i="1"/>
  <c r="O33" i="1"/>
  <c r="R33" i="1"/>
  <c r="B32" i="1"/>
  <c r="E29" i="1"/>
  <c r="M33" i="1"/>
  <c r="T35" i="1"/>
  <c r="T39" i="1" s="1"/>
  <c r="O35" i="1"/>
  <c r="O39" i="1" s="1"/>
  <c r="G29" i="1"/>
  <c r="B34" i="1"/>
  <c r="B38" i="1" s="1"/>
  <c r="I27" i="1"/>
  <c r="I28" i="1"/>
  <c r="G62" i="1"/>
  <c r="E62" i="1"/>
  <c r="R39" i="1" l="1"/>
  <c r="M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</author>
    <author>PC</author>
  </authors>
  <commentList>
    <comment ref="D24" authorId="0" shapeId="0" xr:uid="{B13F33B5-B7F7-45F3-9CEA-F8DDDEF330BF}">
      <text>
        <r>
          <rPr>
            <b/>
            <sz val="9"/>
            <color indexed="81"/>
            <rFont val="Tahoma"/>
            <family val="2"/>
          </rPr>
          <t>Use it only when the agent requests it</t>
        </r>
      </text>
    </comment>
    <comment ref="F27" authorId="0" shapeId="0" xr:uid="{1CFC8DB0-2D3F-418B-83F8-4774C9140BA1}">
      <text>
        <r>
          <rPr>
            <sz val="9"/>
            <color indexed="81"/>
            <rFont val="Tahoma"/>
            <family val="2"/>
          </rPr>
          <t>Share %</t>
        </r>
      </text>
    </comment>
    <comment ref="G27" authorId="0" shapeId="0" xr:uid="{24BDD8A6-44F1-47AF-BDFC-05975696F472}">
      <text>
        <r>
          <rPr>
            <b/>
            <sz val="9"/>
            <color indexed="81"/>
            <rFont val="Tahoma"/>
            <family val="2"/>
          </rPr>
          <t>Share Settlement</t>
        </r>
      </text>
    </comment>
    <comment ref="D28" authorId="0" shapeId="0" xr:uid="{F33A0CF1-FECB-4280-9D6A-6A243E961466}">
      <text>
        <r>
          <rPr>
            <sz val="9"/>
            <color indexed="81"/>
            <rFont val="돋움"/>
            <family val="3"/>
            <charset val="129"/>
          </rPr>
          <t>Check</t>
        </r>
      </text>
    </comment>
    <comment ref="F28" authorId="0" shapeId="0" xr:uid="{AEAAC381-D030-4D14-8CDC-B72FF956CD9F}">
      <text>
        <r>
          <rPr>
            <sz val="9"/>
            <color indexed="81"/>
            <rFont val="Tahoma"/>
            <family val="2"/>
          </rPr>
          <t>Rolling %</t>
        </r>
      </text>
    </comment>
    <comment ref="G28" authorId="0" shapeId="0" xr:uid="{16B031BD-860D-4DD4-92FB-8C1E599BBE4E}">
      <text>
        <r>
          <rPr>
            <b/>
            <sz val="9"/>
            <color indexed="81"/>
            <rFont val="Tahoma"/>
            <family val="2"/>
          </rPr>
          <t>Rolling Settlement</t>
        </r>
      </text>
    </comment>
    <comment ref="D30" authorId="0" shapeId="0" xr:uid="{A81F0234-31E2-4AD1-827A-A05853088D35}">
      <text>
        <r>
          <rPr>
            <b/>
            <sz val="9"/>
            <color indexed="81"/>
            <rFont val="Tahoma"/>
            <family val="2"/>
          </rPr>
          <t>Guest Name</t>
        </r>
      </text>
    </comment>
    <comment ref="F30" authorId="0" shapeId="0" xr:uid="{E527E4B7-61DF-40C6-BA24-65F25D97647B}">
      <text>
        <r>
          <rPr>
            <sz val="9"/>
            <color indexed="81"/>
            <rFont val="Tahoma"/>
            <family val="2"/>
          </rPr>
          <t>Rolling Rates</t>
        </r>
      </text>
    </comment>
    <comment ref="D35" authorId="0" shapeId="0" xr:uid="{8E80ADF8-16A7-4CB7-8AA1-DC532A6F6C2E}">
      <text>
        <r>
          <rPr>
            <b/>
            <sz val="9"/>
            <color indexed="81"/>
            <rFont val="Tahoma"/>
            <family val="2"/>
          </rPr>
          <t>Agent Name</t>
        </r>
      </text>
    </comment>
    <comment ref="F35" authorId="0" shapeId="0" xr:uid="{240DF3EB-1FBD-43F2-9BE0-192D0DAF4EDC}">
      <text>
        <r>
          <rPr>
            <sz val="9"/>
            <color indexed="81"/>
            <rFont val="Tahoma"/>
            <family val="2"/>
          </rPr>
          <t>Rolling Rates</t>
        </r>
      </text>
    </comment>
    <comment ref="F36" authorId="0" shapeId="0" xr:uid="{B266DA1B-64EE-46F3-B558-9A02284DB4F9}">
      <text>
        <r>
          <rPr>
            <sz val="9"/>
            <color indexed="81"/>
            <rFont val="Tahoma"/>
            <family val="2"/>
          </rPr>
          <t>Rolling Rates</t>
        </r>
      </text>
    </comment>
    <comment ref="B43" authorId="1" shapeId="0" xr:uid="{2E09687C-EEED-4E20-9E25-2C6F22309267}">
      <text>
        <r>
          <rPr>
            <b/>
            <sz val="9"/>
            <color indexed="81"/>
            <rFont val="BatangChe"/>
            <family val="3"/>
            <charset val="129"/>
          </rPr>
          <t>플레이어 이름을 쓰세요</t>
        </r>
      </text>
    </comment>
    <comment ref="C43" authorId="0" shapeId="0" xr:uid="{A0BBFA07-9CE1-442A-9E3F-7D2BEABD2700}">
      <text>
        <r>
          <rPr>
            <b/>
            <sz val="9"/>
            <color indexed="81"/>
            <rFont val="Tahoma"/>
            <family val="2"/>
          </rPr>
          <t xml:space="preserve">B/I
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B/I 10,000</t>
        </r>
        <r>
          <rPr>
            <b/>
            <sz val="9"/>
            <color indexed="81"/>
            <rFont val="돋움"/>
            <family val="3"/>
            <charset val="129"/>
          </rPr>
          <t>에
추가</t>
        </r>
        <r>
          <rPr>
            <b/>
            <sz val="9"/>
            <color indexed="81"/>
            <rFont val="Tahoma"/>
            <family val="2"/>
          </rPr>
          <t xml:space="preserve"> B/I 20,000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경우
</t>
        </r>
        <r>
          <rPr>
            <b/>
            <sz val="9"/>
            <color indexed="81"/>
            <rFont val="Tahoma"/>
            <family val="2"/>
          </rPr>
          <t xml:space="preserve">=10,000+20,000
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43" authorId="0" shapeId="0" xr:uid="{D1AB5BF0-CBCE-4D04-9554-D62ED727F884}">
      <text>
        <r>
          <rPr>
            <b/>
            <sz val="9"/>
            <color indexed="81"/>
            <rFont val="Tahoma"/>
            <family val="2"/>
          </rPr>
          <t>C/O
- (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표시하지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예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C/O 10,000</t>
        </r>
        <r>
          <rPr>
            <b/>
            <sz val="9"/>
            <color indexed="81"/>
            <rFont val="돋움"/>
            <family val="3"/>
            <charset val="129"/>
          </rPr>
          <t>에
추가</t>
        </r>
        <r>
          <rPr>
            <b/>
            <sz val="9"/>
            <color indexed="81"/>
            <rFont val="Tahoma"/>
            <family val="2"/>
          </rPr>
          <t xml:space="preserve"> C/O 20,000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경우
</t>
        </r>
        <r>
          <rPr>
            <b/>
            <sz val="9"/>
            <color indexed="81"/>
            <rFont val="Tahoma"/>
            <family val="2"/>
          </rPr>
          <t xml:space="preserve">=10,000+20,000
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F43" authorId="0" shapeId="0" xr:uid="{69FEB9E5-6108-4CB5-AECE-D58B20690AB6}">
      <text>
        <r>
          <rPr>
            <b/>
            <sz val="9"/>
            <color indexed="81"/>
            <rFont val="Tahoma"/>
            <family val="2"/>
          </rPr>
          <t xml:space="preserve">Rolling
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
중국식으로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  <comment ref="B65" authorId="1" shapeId="0" xr:uid="{AD8C4229-CAA5-40F5-BF92-8AC8B9CC78FC}">
      <text>
        <r>
          <rPr>
            <b/>
            <sz val="9"/>
            <color indexed="81"/>
            <rFont val="BatangChe"/>
            <family val="3"/>
            <charset val="129"/>
          </rPr>
          <t>플레이어 이름을 쓰세요</t>
        </r>
      </text>
    </comment>
    <comment ref="C65" authorId="0" shapeId="0" xr:uid="{DA76AA57-A5D9-408F-BD3E-9C21A1749AD0}">
      <text>
        <r>
          <rPr>
            <b/>
            <sz val="9"/>
            <color indexed="81"/>
            <rFont val="Tahoma"/>
            <family val="2"/>
          </rPr>
          <t xml:space="preserve">B/I
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B/I 10,000</t>
        </r>
        <r>
          <rPr>
            <b/>
            <sz val="9"/>
            <color indexed="81"/>
            <rFont val="돋움"/>
            <family val="3"/>
            <charset val="129"/>
          </rPr>
          <t>에
추가</t>
        </r>
        <r>
          <rPr>
            <b/>
            <sz val="9"/>
            <color indexed="81"/>
            <rFont val="Tahoma"/>
            <family val="2"/>
          </rPr>
          <t xml:space="preserve"> B/I 20,000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경우
</t>
        </r>
        <r>
          <rPr>
            <b/>
            <sz val="9"/>
            <color indexed="81"/>
            <rFont val="Tahoma"/>
            <family val="2"/>
          </rPr>
          <t xml:space="preserve">=10,000+20,000
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65" authorId="0" shapeId="0" xr:uid="{71C5877D-5271-44F9-8F41-FD14BD5D2B86}">
      <text>
        <r>
          <rPr>
            <b/>
            <sz val="9"/>
            <color indexed="81"/>
            <rFont val="Tahoma"/>
            <family val="2"/>
          </rPr>
          <t>C/O
- (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표시하지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예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C/O 10,000</t>
        </r>
        <r>
          <rPr>
            <b/>
            <sz val="9"/>
            <color indexed="81"/>
            <rFont val="돋움"/>
            <family val="3"/>
            <charset val="129"/>
          </rPr>
          <t>에
추가</t>
        </r>
        <r>
          <rPr>
            <b/>
            <sz val="9"/>
            <color indexed="81"/>
            <rFont val="Tahoma"/>
            <family val="2"/>
          </rPr>
          <t xml:space="preserve"> C/O 20,000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경우
</t>
        </r>
        <r>
          <rPr>
            <b/>
            <sz val="9"/>
            <color indexed="81"/>
            <rFont val="Tahoma"/>
            <family val="2"/>
          </rPr>
          <t xml:space="preserve">=10,000+20,000
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F65" authorId="0" shapeId="0" xr:uid="{CA53EF72-2C7C-4D2F-A9C5-A7EF665789DD}">
      <text>
        <r>
          <rPr>
            <b/>
            <sz val="9"/>
            <color indexed="81"/>
            <rFont val="Tahoma"/>
            <family val="2"/>
          </rPr>
          <t xml:space="preserve">Rolling
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
중국식으로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</text>
    </comment>
  </commentList>
</comments>
</file>

<file path=xl/sharedStrings.xml><?xml version="1.0" encoding="utf-8"?>
<sst xmlns="http://schemas.openxmlformats.org/spreadsheetml/2006/main" count="176" uniqueCount="67">
  <si>
    <t>TOTAL</t>
    <phoneticPr fontId="0" type="noConversion"/>
  </si>
  <si>
    <t>Actual Settlement</t>
  </si>
  <si>
    <t>Incidential</t>
    <phoneticPr fontId="0" type="noConversion"/>
  </si>
  <si>
    <t>Hotel</t>
    <phoneticPr fontId="0" type="noConversion"/>
  </si>
  <si>
    <t>F&amp;B</t>
    <phoneticPr fontId="0" type="noConversion"/>
  </si>
  <si>
    <t>Settlement</t>
    <phoneticPr fontId="0" type="noConversion"/>
  </si>
  <si>
    <t>Rolling</t>
    <phoneticPr fontId="0" type="noConversion"/>
  </si>
  <si>
    <t>W/L</t>
    <phoneticPr fontId="0" type="noConversion"/>
  </si>
  <si>
    <t>Cash Out</t>
    <phoneticPr fontId="0" type="noConversion"/>
  </si>
  <si>
    <t>Buy In</t>
    <phoneticPr fontId="0" type="noConversion"/>
  </si>
  <si>
    <t>Name</t>
    <phoneticPr fontId="0" type="noConversion"/>
  </si>
  <si>
    <t>Account</t>
    <phoneticPr fontId="0" type="noConversion"/>
  </si>
  <si>
    <t>Commission Settlement (Detail)</t>
    <phoneticPr fontId="0" type="noConversion"/>
  </si>
  <si>
    <t>상호 협의</t>
  </si>
  <si>
    <t>속이기</t>
  </si>
  <si>
    <t>Agent</t>
    <phoneticPr fontId="0" type="noConversion"/>
  </si>
  <si>
    <t>Guest</t>
    <phoneticPr fontId="0" type="noConversion"/>
  </si>
  <si>
    <t>Total  :</t>
  </si>
  <si>
    <t>Incidental :</t>
    <phoneticPr fontId="0" type="noConversion"/>
  </si>
  <si>
    <t>`</t>
  </si>
  <si>
    <t>Act.Settlement</t>
    <phoneticPr fontId="0" type="noConversion"/>
  </si>
  <si>
    <t>Total :</t>
    <phoneticPr fontId="0" type="noConversion"/>
  </si>
  <si>
    <t>Hotel :</t>
    <phoneticPr fontId="0" type="noConversion"/>
  </si>
  <si>
    <t>Total</t>
    <phoneticPr fontId="0" type="noConversion"/>
  </si>
  <si>
    <t>F&amp;B :</t>
    <phoneticPr fontId="0" type="noConversion"/>
  </si>
  <si>
    <t>Settlement :</t>
    <phoneticPr fontId="0" type="noConversion"/>
  </si>
  <si>
    <t>JO MINGEUN</t>
  </si>
  <si>
    <t>Rolling :</t>
    <phoneticPr fontId="0" type="noConversion"/>
  </si>
  <si>
    <t>W/L :</t>
    <phoneticPr fontId="0" type="noConversion"/>
  </si>
  <si>
    <t>Cash Out :</t>
    <phoneticPr fontId="0" type="noConversion"/>
  </si>
  <si>
    <t>Buy In :</t>
    <phoneticPr fontId="0" type="noConversion"/>
  </si>
  <si>
    <t>Game Type :</t>
    <phoneticPr fontId="0" type="noConversion"/>
  </si>
  <si>
    <t>Name :</t>
    <phoneticPr fontId="0" type="noConversion"/>
  </si>
  <si>
    <t>Settlement</t>
    <phoneticPr fontId="0" type="noConversion"/>
  </si>
  <si>
    <t>Account :</t>
    <phoneticPr fontId="0" type="noConversion"/>
  </si>
  <si>
    <t>Account :</t>
  </si>
  <si>
    <t>Guest's Rolling</t>
    <phoneticPr fontId="0" type="noConversion"/>
  </si>
  <si>
    <t>Rolling</t>
  </si>
  <si>
    <t>Input Terms Of Satisfy</t>
  </si>
  <si>
    <t>Finished Game</t>
  </si>
  <si>
    <t>Division Rolling B</t>
    <phoneticPr fontId="0" type="noConversion"/>
  </si>
  <si>
    <t>Division Rolling A</t>
    <phoneticPr fontId="0" type="noConversion"/>
  </si>
  <si>
    <t>Percentage Calculator</t>
  </si>
  <si>
    <t>Rolling Rates</t>
    <phoneticPr fontId="0" type="noConversion"/>
  </si>
  <si>
    <t>Division Rolling Calculator</t>
  </si>
  <si>
    <t>The criteria for all settlements are not confusing when the company comes first.</t>
    <phoneticPr fontId="0" type="noConversion"/>
  </si>
  <si>
    <t>O</t>
  </si>
  <si>
    <t>LIVE</t>
  </si>
  <si>
    <t>300011083</t>
  </si>
  <si>
    <t>CHO HYUNSIK</t>
  </si>
  <si>
    <t>GD003</t>
  </si>
  <si>
    <t>D</t>
  </si>
  <si>
    <t>AVATAR</t>
  </si>
  <si>
    <t>LEE YOUNGSEOK</t>
  </si>
  <si>
    <t>정산</t>
    <phoneticPr fontId="0" type="noConversion"/>
  </si>
  <si>
    <t>Note</t>
    <phoneticPr fontId="0" type="noConversion"/>
  </si>
  <si>
    <t>Finish Time</t>
    <phoneticPr fontId="0" type="noConversion"/>
  </si>
  <si>
    <t>Finish Date</t>
    <phoneticPr fontId="0" type="noConversion"/>
  </si>
  <si>
    <t>R. CHIPS</t>
    <phoneticPr fontId="0" type="noConversion"/>
  </si>
  <si>
    <t>Incidential</t>
    <phoneticPr fontId="0" type="noConversion"/>
  </si>
  <si>
    <t>Rolling %</t>
    <phoneticPr fontId="0" type="noConversion"/>
  </si>
  <si>
    <t>Share %</t>
    <phoneticPr fontId="0" type="noConversion"/>
  </si>
  <si>
    <t>Game Type</t>
    <phoneticPr fontId="0" type="noConversion"/>
  </si>
  <si>
    <t>Membership No.</t>
    <phoneticPr fontId="0" type="noConversion"/>
  </si>
  <si>
    <t>Start Time</t>
    <phoneticPr fontId="0" type="noConversion"/>
  </si>
  <si>
    <t>Start Date</t>
    <phoneticPr fontId="0" type="noConversion"/>
  </si>
  <si>
    <t>Commission Settlement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</si>
</sst>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64" formatCode="[$-409]mmm/yy;@"/>
    <numFmt numFmtId="165" formatCode="#,##0_);[Red]\(#,##0\)"/>
    <numFmt numFmtId="166" formatCode="_-* #,##0_-;[Red]General;_-* &quot;-&quot;_-;_-@_-"/>
    <numFmt numFmtId="167" formatCode="#,##0;[Red]#,##0"/>
    <numFmt numFmtId="168" formatCode="0_);[Red]\(0\)"/>
    <numFmt numFmtId="169" formatCode="m&quot;/&quot;d;@"/>
    <numFmt numFmtId="170" formatCode="m&quot;월&quot;\ d&quot;일&quot;;@"/>
    <numFmt numFmtId="171" formatCode="h:mm;@"/>
  </numFmts>
  <fonts count="4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Calibri"/>
      <family val="2"/>
      <charset val="136"/>
      <scheme val="minor"/>
    </font>
    <font>
      <sz val="10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b/>
      <sz val="8"/>
      <color theme="1"/>
      <name val="Calibri"/>
      <family val="3"/>
      <charset val="129"/>
      <scheme val="minor"/>
    </font>
    <font>
      <b/>
      <sz val="7"/>
      <color theme="1"/>
      <name val="Calibri"/>
      <family val="3"/>
      <charset val="129"/>
      <scheme val="minor"/>
    </font>
    <font>
      <sz val="10"/>
      <color theme="1"/>
      <name val="Calibri"/>
      <family val="2"/>
      <charset val="136"/>
      <scheme val="minor"/>
    </font>
    <font>
      <b/>
      <sz val="6"/>
      <color theme="1"/>
      <name val="Calibri"/>
      <family val="3"/>
      <charset val="129"/>
      <scheme val="minor"/>
    </font>
    <font>
      <sz val="8"/>
      <color theme="1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b/>
      <sz val="9"/>
      <color theme="1"/>
      <name val="Calibri"/>
      <family val="3"/>
      <charset val="129"/>
      <scheme val="minor"/>
    </font>
    <font>
      <sz val="10"/>
      <color theme="0" tint="-0.499984740745262"/>
      <name val="Calibri"/>
      <family val="2"/>
      <charset val="136"/>
      <scheme val="minor"/>
    </font>
    <font>
      <b/>
      <sz val="8"/>
      <color theme="0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b/>
      <sz val="9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  <font>
      <b/>
      <sz val="9"/>
      <color theme="1"/>
      <name val="Calibri"/>
      <family val="2"/>
      <scheme val="minor"/>
    </font>
    <font>
      <b/>
      <sz val="7"/>
      <color theme="7" tint="0.39997558519241921"/>
      <name val="Calibri"/>
      <family val="3"/>
      <charset val="129"/>
      <scheme val="minor"/>
    </font>
    <font>
      <b/>
      <sz val="10"/>
      <color theme="2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7"/>
      <color theme="1"/>
      <name val="맑은 고딕"/>
      <family val="3"/>
      <charset val="129"/>
    </font>
    <font>
      <b/>
      <sz val="12"/>
      <color theme="0"/>
      <name val="Calibri"/>
      <family val="3"/>
      <charset val="129"/>
      <scheme val="minor"/>
    </font>
    <font>
      <b/>
      <sz val="7"/>
      <color theme="0"/>
      <name val="Calibri"/>
      <family val="3"/>
      <charset val="129"/>
      <scheme val="minor"/>
    </font>
    <font>
      <b/>
      <sz val="9"/>
      <color theme="0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name val="Calibri"/>
      <family val="3"/>
      <charset val="129"/>
      <scheme val="minor"/>
    </font>
    <font>
      <b/>
      <sz val="7"/>
      <color theme="1"/>
      <name val="Calibri"/>
      <family val="2"/>
      <scheme val="minor"/>
    </font>
    <font>
      <b/>
      <sz val="8"/>
      <color theme="2"/>
      <name val="Calibri"/>
      <family val="3"/>
      <charset val="129"/>
      <scheme val="minor"/>
    </font>
    <font>
      <b/>
      <sz val="5"/>
      <color theme="2"/>
      <name val="Calibri"/>
      <family val="3"/>
      <charset val="129"/>
      <scheme val="minor"/>
    </font>
    <font>
      <b/>
      <sz val="6"/>
      <color theme="2"/>
      <name val="Calibri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BatangChe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theme="5" tint="0.79998168889431442"/>
      </patternFill>
    </fill>
    <fill>
      <patternFill patternType="solid">
        <fgColor theme="5" tint="0.39997558519241921"/>
        <bgColor theme="5" tint="0.79998168889431442"/>
      </patternFill>
    </fill>
    <fill>
      <patternFill patternType="solid">
        <fgColor theme="4" tint="0.39997558519241921"/>
        <bgColor theme="5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5" tint="0.79998168889431442"/>
      </patternFill>
    </fill>
  </fills>
  <borders count="70">
    <border>
      <left/>
      <right/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164" fontId="2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</cellStyleXfs>
  <cellXfs count="247">
    <xf numFmtId="0" fontId="0" fillId="0" borderId="0" xfId="0">
      <alignment vertical="center"/>
    </xf>
    <xf numFmtId="164" fontId="3" fillId="2" borderId="0" xfId="1" applyFont="1" applyFill="1">
      <alignment vertical="center"/>
    </xf>
    <xf numFmtId="0" fontId="0" fillId="2" borderId="0" xfId="0" applyFill="1">
      <alignment vertical="center"/>
    </xf>
    <xf numFmtId="165" fontId="4" fillId="3" borderId="1" xfId="1" applyNumberFormat="1" applyFont="1" applyFill="1" applyBorder="1">
      <alignment vertical="center"/>
    </xf>
    <xf numFmtId="165" fontId="4" fillId="4" borderId="2" xfId="1" applyNumberFormat="1" applyFont="1" applyFill="1" applyBorder="1">
      <alignment vertical="center"/>
    </xf>
    <xf numFmtId="165" fontId="4" fillId="5" borderId="3" xfId="1" applyNumberFormat="1" applyFont="1" applyFill="1" applyBorder="1">
      <alignment vertical="center"/>
    </xf>
    <xf numFmtId="165" fontId="4" fillId="6" borderId="4" xfId="1" applyNumberFormat="1" applyFont="1" applyFill="1" applyBorder="1">
      <alignment vertical="center"/>
    </xf>
    <xf numFmtId="165" fontId="4" fillId="6" borderId="2" xfId="1" applyNumberFormat="1" applyFont="1" applyFill="1" applyBorder="1">
      <alignment vertical="center"/>
    </xf>
    <xf numFmtId="165" fontId="4" fillId="7" borderId="2" xfId="1" applyNumberFormat="1" applyFont="1" applyFill="1" applyBorder="1">
      <alignment vertical="center"/>
    </xf>
    <xf numFmtId="38" fontId="5" fillId="6" borderId="2" xfId="1" applyNumberFormat="1" applyFont="1" applyFill="1" applyBorder="1" applyAlignment="1">
      <alignment horizontal="center" vertical="center"/>
    </xf>
    <xf numFmtId="38" fontId="5" fillId="6" borderId="5" xfId="1" applyNumberFormat="1" applyFont="1" applyFill="1" applyBorder="1" applyAlignment="1">
      <alignment horizontal="center" vertical="center"/>
    </xf>
    <xf numFmtId="165" fontId="4" fillId="8" borderId="6" xfId="1" applyNumberFormat="1" applyFont="1" applyFill="1" applyBorder="1" applyProtection="1">
      <alignment vertical="center"/>
      <protection locked="0"/>
    </xf>
    <xf numFmtId="165" fontId="4" fillId="9" borderId="7" xfId="1" applyNumberFormat="1" applyFont="1" applyFill="1" applyBorder="1" applyProtection="1">
      <alignment vertical="center"/>
      <protection locked="0"/>
    </xf>
    <xf numFmtId="165" fontId="4" fillId="8" borderId="8" xfId="1" applyNumberFormat="1" applyFont="1" applyFill="1" applyBorder="1" applyProtection="1">
      <alignment vertical="center"/>
      <protection locked="0"/>
    </xf>
    <xf numFmtId="165" fontId="4" fillId="10" borderId="9" xfId="1" applyNumberFormat="1" applyFont="1" applyFill="1" applyBorder="1" applyProtection="1">
      <alignment vertical="center"/>
      <protection locked="0"/>
    </xf>
    <xf numFmtId="165" fontId="4" fillId="10" borderId="7" xfId="1" applyNumberFormat="1" applyFont="1" applyFill="1" applyBorder="1" applyProtection="1">
      <alignment vertical="center"/>
      <protection locked="0"/>
    </xf>
    <xf numFmtId="165" fontId="3" fillId="10" borderId="7" xfId="1" applyNumberFormat="1" applyFont="1" applyFill="1" applyBorder="1" applyProtection="1">
      <alignment vertical="center"/>
      <protection locked="0"/>
    </xf>
    <xf numFmtId="41" fontId="6" fillId="10" borderId="7" xfId="1" applyNumberFormat="1" applyFont="1" applyFill="1" applyBorder="1" applyAlignment="1" applyProtection="1">
      <alignment horizontal="left" vertical="center"/>
      <protection locked="0"/>
    </xf>
    <xf numFmtId="41" fontId="4" fillId="10" borderId="10" xfId="1" applyNumberFormat="1" applyFont="1" applyFill="1" applyBorder="1" applyAlignment="1" applyProtection="1">
      <alignment horizontal="right" vertical="center"/>
      <protection locked="0"/>
    </xf>
    <xf numFmtId="165" fontId="4" fillId="8" borderId="11" xfId="1" applyNumberFormat="1" applyFont="1" applyFill="1" applyBorder="1" applyProtection="1">
      <alignment vertical="center"/>
      <protection locked="0"/>
    </xf>
    <xf numFmtId="165" fontId="4" fillId="9" borderId="12" xfId="1" applyNumberFormat="1" applyFont="1" applyFill="1" applyBorder="1" applyProtection="1">
      <alignment vertical="center"/>
      <protection locked="0"/>
    </xf>
    <xf numFmtId="165" fontId="4" fillId="8" borderId="13" xfId="1" applyNumberFormat="1" applyFont="1" applyFill="1" applyBorder="1" applyProtection="1">
      <alignment vertical="center"/>
      <protection locked="0"/>
    </xf>
    <xf numFmtId="165" fontId="4" fillId="10" borderId="14" xfId="1" applyNumberFormat="1" applyFont="1" applyFill="1" applyBorder="1" applyProtection="1">
      <alignment vertical="center"/>
      <protection locked="0"/>
    </xf>
    <xf numFmtId="165" fontId="4" fillId="10" borderId="12" xfId="1" applyNumberFormat="1" applyFont="1" applyFill="1" applyBorder="1" applyProtection="1">
      <alignment vertical="center"/>
      <protection locked="0"/>
    </xf>
    <xf numFmtId="165" fontId="3" fillId="10" borderId="12" xfId="1" applyNumberFormat="1" applyFont="1" applyFill="1" applyBorder="1" applyProtection="1">
      <alignment vertical="center"/>
      <protection locked="0"/>
    </xf>
    <xf numFmtId="41" fontId="6" fillId="10" borderId="12" xfId="1" applyNumberFormat="1" applyFont="1" applyFill="1" applyBorder="1" applyAlignment="1" applyProtection="1">
      <alignment horizontal="left" vertical="center"/>
      <protection locked="0"/>
    </xf>
    <xf numFmtId="41" fontId="4" fillId="10" borderId="15" xfId="1" applyNumberFormat="1" applyFont="1" applyFill="1" applyBorder="1" applyAlignment="1" applyProtection="1">
      <alignment horizontal="right" vertical="center"/>
      <protection locked="0"/>
    </xf>
    <xf numFmtId="164" fontId="7" fillId="2" borderId="0" xfId="1" applyFont="1" applyFill="1">
      <alignment vertical="center"/>
    </xf>
    <xf numFmtId="166" fontId="8" fillId="3" borderId="16" xfId="2" applyNumberFormat="1" applyFont="1" applyFill="1" applyBorder="1" applyAlignment="1" applyProtection="1">
      <alignment horizontal="center" vertical="center"/>
    </xf>
    <xf numFmtId="38" fontId="5" fillId="4" borderId="17" xfId="2" applyNumberFormat="1" applyFont="1" applyFill="1" applyBorder="1" applyAlignment="1" applyProtection="1">
      <alignment horizontal="center" vertical="center"/>
    </xf>
    <xf numFmtId="10" fontId="5" fillId="3" borderId="18" xfId="2" applyNumberFormat="1" applyFont="1" applyFill="1" applyBorder="1" applyAlignment="1" applyProtection="1">
      <alignment horizontal="center" vertical="center"/>
    </xf>
    <xf numFmtId="38" fontId="5" fillId="7" borderId="19" xfId="2" applyNumberFormat="1" applyFont="1" applyFill="1" applyBorder="1" applyAlignment="1" applyProtection="1">
      <alignment horizontal="center" vertical="center"/>
    </xf>
    <xf numFmtId="38" fontId="5" fillId="7" borderId="17" xfId="2" applyNumberFormat="1" applyFont="1" applyFill="1" applyBorder="1" applyAlignment="1" applyProtection="1">
      <alignment horizontal="center" vertical="center"/>
    </xf>
    <xf numFmtId="167" fontId="5" fillId="7" borderId="17" xfId="2" applyNumberFormat="1" applyFont="1" applyFill="1" applyBorder="1" applyAlignment="1" applyProtection="1">
      <alignment horizontal="center" vertical="center"/>
    </xf>
    <xf numFmtId="49" fontId="5" fillId="7" borderId="17" xfId="1" applyNumberFormat="1" applyFont="1" applyFill="1" applyBorder="1" applyAlignment="1">
      <alignment horizontal="center" vertical="center"/>
    </xf>
    <xf numFmtId="164" fontId="5" fillId="7" borderId="20" xfId="1" applyFont="1" applyFill="1" applyBorder="1" applyAlignment="1">
      <alignment horizontal="center" vertical="center"/>
    </xf>
    <xf numFmtId="164" fontId="4" fillId="6" borderId="21" xfId="1" applyFont="1" applyFill="1" applyBorder="1">
      <alignment vertical="center"/>
    </xf>
    <xf numFmtId="164" fontId="4" fillId="6" borderId="22" xfId="1" applyFont="1" applyFill="1" applyBorder="1">
      <alignment vertical="center"/>
    </xf>
    <xf numFmtId="164" fontId="4" fillId="6" borderId="23" xfId="1" applyFont="1" applyFill="1" applyBorder="1" applyAlignment="1">
      <alignment horizontal="center" vertical="center"/>
    </xf>
    <xf numFmtId="164" fontId="4" fillId="6" borderId="22" xfId="1" applyFont="1" applyFill="1" applyBorder="1" applyAlignment="1">
      <alignment horizontal="center" vertical="center"/>
    </xf>
    <xf numFmtId="164" fontId="4" fillId="6" borderId="24" xfId="1" applyFont="1" applyFill="1" applyBorder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0" fontId="9" fillId="2" borderId="0" xfId="0" applyFont="1" applyFill="1">
      <alignment vertical="center"/>
    </xf>
    <xf numFmtId="0" fontId="10" fillId="2" borderId="0" xfId="0" applyFont="1" applyFill="1" applyAlignment="1">
      <alignment horizontal="left" vertical="center"/>
    </xf>
    <xf numFmtId="165" fontId="4" fillId="3" borderId="2" xfId="1" applyNumberFormat="1" applyFont="1" applyFill="1" applyBorder="1">
      <alignment vertical="center"/>
    </xf>
    <xf numFmtId="165" fontId="11" fillId="6" borderId="2" xfId="1" applyNumberFormat="1" applyFont="1" applyFill="1" applyBorder="1">
      <alignment vertical="center"/>
    </xf>
    <xf numFmtId="165" fontId="4" fillId="8" borderId="6" xfId="1" applyNumberFormat="1" applyFont="1" applyFill="1" applyBorder="1">
      <alignment vertical="center"/>
    </xf>
    <xf numFmtId="165" fontId="4" fillId="9" borderId="7" xfId="1" applyNumberFormat="1" applyFont="1" applyFill="1" applyBorder="1">
      <alignment vertical="center"/>
    </xf>
    <xf numFmtId="165" fontId="4" fillId="8" borderId="25" xfId="1" applyNumberFormat="1" applyFont="1" applyFill="1" applyBorder="1">
      <alignment vertical="center"/>
    </xf>
    <xf numFmtId="165" fontId="4" fillId="10" borderId="9" xfId="1" applyNumberFormat="1" applyFont="1" applyFill="1" applyBorder="1">
      <alignment vertical="center"/>
    </xf>
    <xf numFmtId="165" fontId="4" fillId="10" borderId="7" xfId="1" applyNumberFormat="1" applyFont="1" applyFill="1" applyBorder="1">
      <alignment vertical="center"/>
    </xf>
    <xf numFmtId="165" fontId="3" fillId="10" borderId="7" xfId="1" applyNumberFormat="1" applyFont="1" applyFill="1" applyBorder="1">
      <alignment vertical="center"/>
    </xf>
    <xf numFmtId="41" fontId="6" fillId="10" borderId="7" xfId="1" applyNumberFormat="1" applyFont="1" applyFill="1" applyBorder="1" applyAlignment="1">
      <alignment horizontal="left" vertical="center"/>
    </xf>
    <xf numFmtId="41" fontId="4" fillId="10" borderId="10" xfId="1" applyNumberFormat="1" applyFont="1" applyFill="1" applyBorder="1" applyAlignment="1">
      <alignment horizontal="right" vertical="center"/>
    </xf>
    <xf numFmtId="165" fontId="4" fillId="8" borderId="11" xfId="1" applyNumberFormat="1" applyFont="1" applyFill="1" applyBorder="1">
      <alignment vertical="center"/>
    </xf>
    <xf numFmtId="165" fontId="4" fillId="9" borderId="12" xfId="1" applyNumberFormat="1" applyFont="1" applyFill="1" applyBorder="1">
      <alignment vertical="center"/>
    </xf>
    <xf numFmtId="165" fontId="4" fillId="8" borderId="26" xfId="1" applyNumberFormat="1" applyFont="1" applyFill="1" applyBorder="1">
      <alignment vertical="center"/>
    </xf>
    <xf numFmtId="165" fontId="4" fillId="10" borderId="14" xfId="1" applyNumberFormat="1" applyFont="1" applyFill="1" applyBorder="1">
      <alignment vertical="center"/>
    </xf>
    <xf numFmtId="165" fontId="4" fillId="10" borderId="12" xfId="1" applyNumberFormat="1" applyFont="1" applyFill="1" applyBorder="1">
      <alignment vertical="center"/>
    </xf>
    <xf numFmtId="165" fontId="3" fillId="10" borderId="12" xfId="1" applyNumberFormat="1" applyFont="1" applyFill="1" applyBorder="1">
      <alignment vertical="center"/>
    </xf>
    <xf numFmtId="41" fontId="6" fillId="10" borderId="12" xfId="1" applyNumberFormat="1" applyFont="1" applyFill="1" applyBorder="1" applyAlignment="1">
      <alignment horizontal="left" vertical="center"/>
    </xf>
    <xf numFmtId="41" fontId="4" fillId="10" borderId="15" xfId="1" applyNumberFormat="1" applyFont="1" applyFill="1" applyBorder="1" applyAlignment="1">
      <alignment horizontal="right" vertical="center"/>
    </xf>
    <xf numFmtId="164" fontId="12" fillId="2" borderId="0" xfId="1" applyFont="1" applyFill="1">
      <alignment vertical="center"/>
    </xf>
    <xf numFmtId="10" fontId="5" fillId="3" borderId="27" xfId="2" applyNumberFormat="1" applyFont="1" applyFill="1" applyBorder="1" applyAlignment="1" applyProtection="1">
      <alignment horizontal="center" vertical="center"/>
    </xf>
    <xf numFmtId="164" fontId="4" fillId="6" borderId="22" xfId="1" applyFont="1" applyFill="1" applyBorder="1" applyAlignment="1">
      <alignment horizontal="right" vertical="center"/>
    </xf>
    <xf numFmtId="164" fontId="4" fillId="6" borderId="24" xfId="1" applyFont="1" applyFill="1" applyBorder="1" applyAlignment="1">
      <alignment horizontal="right" vertical="center"/>
    </xf>
    <xf numFmtId="164" fontId="7" fillId="2" borderId="0" xfId="1" applyFont="1" applyFill="1" applyAlignment="1">
      <alignment horizontal="center" vertical="center"/>
    </xf>
    <xf numFmtId="168" fontId="3" fillId="2" borderId="0" xfId="1" applyNumberFormat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164" fontId="13" fillId="11" borderId="0" xfId="1" applyFont="1" applyFill="1" applyAlignment="1">
      <alignment horizontal="center" vertical="center"/>
    </xf>
    <xf numFmtId="164" fontId="13" fillId="12" borderId="0" xfId="1" applyFont="1" applyFill="1" applyAlignment="1">
      <alignment horizontal="center" vertical="center"/>
    </xf>
    <xf numFmtId="165" fontId="4" fillId="5" borderId="28" xfId="3" applyNumberFormat="1" applyFont="1" applyFill="1" applyBorder="1">
      <alignment vertical="center"/>
    </xf>
    <xf numFmtId="0" fontId="11" fillId="3" borderId="29" xfId="3" applyFont="1" applyFill="1" applyBorder="1" applyAlignment="1">
      <alignment horizontal="right" vertical="center"/>
    </xf>
    <xf numFmtId="164" fontId="4" fillId="2" borderId="0" xfId="1" applyFont="1" applyFill="1">
      <alignment vertical="center"/>
    </xf>
    <xf numFmtId="164" fontId="7" fillId="2" borderId="0" xfId="1" applyFont="1" applyFill="1" applyAlignment="1">
      <alignment horizontal="left" vertical="center"/>
    </xf>
    <xf numFmtId="165" fontId="14" fillId="13" borderId="30" xfId="3" applyNumberFormat="1" applyFont="1" applyFill="1" applyBorder="1">
      <alignment vertical="center"/>
    </xf>
    <xf numFmtId="0" fontId="11" fillId="14" borderId="31" xfId="3" applyFont="1" applyFill="1" applyBorder="1" applyAlignment="1">
      <alignment horizontal="right" vertical="center"/>
    </xf>
    <xf numFmtId="165" fontId="11" fillId="5" borderId="28" xfId="1" applyNumberFormat="1" applyFont="1" applyFill="1" applyBorder="1">
      <alignment vertical="center"/>
    </xf>
    <xf numFmtId="168" fontId="6" fillId="3" borderId="32" xfId="1" applyNumberFormat="1" applyFont="1" applyFill="1" applyBorder="1" applyAlignment="1">
      <alignment horizontal="right" vertical="center"/>
    </xf>
    <xf numFmtId="165" fontId="11" fillId="5" borderId="3" xfId="3" applyNumberFormat="1" applyFont="1" applyFill="1" applyBorder="1">
      <alignment vertical="center"/>
    </xf>
    <xf numFmtId="164" fontId="11" fillId="3" borderId="33" xfId="1" applyFont="1" applyFill="1" applyBorder="1" applyAlignment="1">
      <alignment horizontal="right" vertical="center"/>
    </xf>
    <xf numFmtId="165" fontId="11" fillId="5" borderId="34" xfId="1" applyNumberFormat="1" applyFont="1" applyFill="1" applyBorder="1">
      <alignment vertical="center"/>
    </xf>
    <xf numFmtId="164" fontId="4" fillId="3" borderId="35" xfId="1" applyFont="1" applyFill="1" applyBorder="1" applyAlignment="1">
      <alignment horizontal="right" vertical="center"/>
    </xf>
    <xf numFmtId="165" fontId="15" fillId="0" borderId="36" xfId="1" applyNumberFormat="1" applyFont="1" applyBorder="1" applyProtection="1">
      <alignment vertical="center"/>
      <protection locked="0"/>
    </xf>
    <xf numFmtId="164" fontId="6" fillId="0" borderId="37" xfId="1" applyFont="1" applyBorder="1" applyAlignment="1" applyProtection="1">
      <alignment horizontal="right" vertical="center" wrapText="1"/>
      <protection locked="0"/>
    </xf>
    <xf numFmtId="165" fontId="15" fillId="8" borderId="38" xfId="1" applyNumberFormat="1" applyFont="1" applyFill="1" applyBorder="1">
      <alignment vertical="center"/>
    </xf>
    <xf numFmtId="10" fontId="3" fillId="8" borderId="39" xfId="1" applyNumberFormat="1" applyFont="1" applyFill="1" applyBorder="1" applyAlignment="1">
      <alignment horizontal="right" vertical="center"/>
    </xf>
    <xf numFmtId="165" fontId="15" fillId="0" borderId="40" xfId="1" applyNumberFormat="1" applyFont="1" applyBorder="1" applyProtection="1">
      <alignment vertical="center"/>
      <protection locked="0"/>
    </xf>
    <xf numFmtId="164" fontId="6" fillId="0" borderId="31" xfId="1" applyFont="1" applyBorder="1" applyAlignment="1" applyProtection="1">
      <alignment horizontal="right" vertical="center" wrapText="1"/>
      <protection locked="0"/>
    </xf>
    <xf numFmtId="165" fontId="4" fillId="5" borderId="41" xfId="3" applyNumberFormat="1" applyFont="1" applyFill="1" applyBorder="1">
      <alignment vertical="center"/>
    </xf>
    <xf numFmtId="0" fontId="11" fillId="3" borderId="42" xfId="3" applyFont="1" applyFill="1" applyBorder="1" applyAlignment="1">
      <alignment horizontal="right" vertical="center"/>
    </xf>
    <xf numFmtId="165" fontId="15" fillId="8" borderId="34" xfId="1" applyNumberFormat="1" applyFont="1" applyFill="1" applyBorder="1">
      <alignment vertical="center"/>
    </xf>
    <xf numFmtId="10" fontId="3" fillId="8" borderId="35" xfId="1" applyNumberFormat="1" applyFont="1" applyFill="1" applyBorder="1" applyAlignment="1">
      <alignment horizontal="right" vertical="center"/>
    </xf>
    <xf numFmtId="165" fontId="15" fillId="0" borderId="43" xfId="1" applyNumberFormat="1" applyFont="1" applyBorder="1" applyProtection="1">
      <alignment vertical="center"/>
      <protection locked="0"/>
    </xf>
    <xf numFmtId="164" fontId="6" fillId="0" borderId="42" xfId="1" applyFont="1" applyBorder="1" applyAlignment="1" applyProtection="1">
      <alignment horizontal="right" vertical="center" wrapText="1"/>
      <protection locked="0"/>
    </xf>
    <xf numFmtId="165" fontId="11" fillId="7" borderId="44" xfId="1" applyNumberFormat="1" applyFont="1" applyFill="1" applyBorder="1">
      <alignment vertical="center"/>
    </xf>
    <xf numFmtId="37" fontId="4" fillId="6" borderId="37" xfId="2" applyNumberFormat="1" applyFont="1" applyFill="1" applyBorder="1" applyAlignment="1" applyProtection="1">
      <alignment horizontal="right" vertical="center"/>
    </xf>
    <xf numFmtId="165" fontId="11" fillId="5" borderId="45" xfId="2" applyNumberFormat="1" applyFont="1" applyFill="1" applyBorder="1" applyAlignment="1" applyProtection="1">
      <alignment vertical="center"/>
    </xf>
    <xf numFmtId="164" fontId="4" fillId="3" borderId="46" xfId="1" applyFont="1" applyFill="1" applyBorder="1" applyAlignment="1">
      <alignment horizontal="right" vertical="center"/>
    </xf>
    <xf numFmtId="165" fontId="15" fillId="0" borderId="47" xfId="1" applyNumberFormat="1" applyFont="1" applyBorder="1" applyProtection="1">
      <alignment vertical="center"/>
      <protection locked="0"/>
    </xf>
    <xf numFmtId="41" fontId="6" fillId="5" borderId="37" xfId="1" applyNumberFormat="1" applyFont="1" applyFill="1" applyBorder="1" applyAlignment="1">
      <alignment horizontal="right" vertical="center" wrapText="1"/>
    </xf>
    <xf numFmtId="165" fontId="4" fillId="7" borderId="41" xfId="3" applyNumberFormat="1" applyFont="1" applyFill="1" applyBorder="1">
      <alignment vertical="center"/>
    </xf>
    <xf numFmtId="37" fontId="4" fillId="6" borderId="42" xfId="2" applyNumberFormat="1" applyFont="1" applyFill="1" applyBorder="1" applyAlignment="1" applyProtection="1">
      <alignment horizontal="right" vertical="center"/>
    </xf>
    <xf numFmtId="165" fontId="16" fillId="13" borderId="45" xfId="3" applyNumberFormat="1" applyFont="1" applyFill="1" applyBorder="1">
      <alignment vertical="center"/>
    </xf>
    <xf numFmtId="0" fontId="11" fillId="14" borderId="48" xfId="3" applyFont="1" applyFill="1" applyBorder="1" applyAlignment="1">
      <alignment horizontal="right" vertical="center"/>
    </xf>
    <xf numFmtId="41" fontId="6" fillId="5" borderId="31" xfId="1" applyNumberFormat="1" applyFont="1" applyFill="1" applyBorder="1" applyAlignment="1">
      <alignment horizontal="right" vertical="center" wrapText="1"/>
    </xf>
    <xf numFmtId="165" fontId="11" fillId="7" borderId="44" xfId="3" applyNumberFormat="1" applyFont="1" applyFill="1" applyBorder="1">
      <alignment vertical="center"/>
    </xf>
    <xf numFmtId="165" fontId="17" fillId="10" borderId="44" xfId="3" applyNumberFormat="1" applyFont="1" applyFill="1" applyBorder="1">
      <alignment vertical="center"/>
    </xf>
    <xf numFmtId="37" fontId="4" fillId="7" borderId="37" xfId="2" applyNumberFormat="1" applyFont="1" applyFill="1" applyBorder="1" applyAlignment="1" applyProtection="1">
      <alignment horizontal="right" vertical="center"/>
    </xf>
    <xf numFmtId="38" fontId="0" fillId="2" borderId="0" xfId="0" applyNumberFormat="1" applyFill="1">
      <alignment vertical="center"/>
    </xf>
    <xf numFmtId="165" fontId="4" fillId="10" borderId="30" xfId="3" applyNumberFormat="1" applyFont="1" applyFill="1" applyBorder="1">
      <alignment vertical="center"/>
    </xf>
    <xf numFmtId="37" fontId="4" fillId="7" borderId="31" xfId="2" applyNumberFormat="1" applyFont="1" applyFill="1" applyBorder="1" applyAlignment="1" applyProtection="1">
      <alignment horizontal="right" vertical="center"/>
    </xf>
    <xf numFmtId="165" fontId="16" fillId="13" borderId="38" xfId="3" applyNumberFormat="1" applyFont="1" applyFill="1" applyBorder="1">
      <alignment vertical="center"/>
    </xf>
    <xf numFmtId="169" fontId="11" fillId="15" borderId="30" xfId="1" applyNumberFormat="1" applyFont="1" applyFill="1" applyBorder="1" applyAlignment="1">
      <alignment horizontal="center" vertical="center"/>
    </xf>
    <xf numFmtId="170" fontId="14" fillId="7" borderId="31" xfId="1" applyNumberFormat="1" applyFont="1" applyFill="1" applyBorder="1" applyAlignment="1">
      <alignment horizontal="right" vertical="center"/>
    </xf>
    <xf numFmtId="165" fontId="15" fillId="8" borderId="49" xfId="1" applyNumberFormat="1" applyFont="1" applyFill="1" applyBorder="1">
      <alignment vertical="center"/>
    </xf>
    <xf numFmtId="10" fontId="3" fillId="16" borderId="50" xfId="1" applyNumberFormat="1" applyFont="1" applyFill="1" applyBorder="1" applyAlignment="1" applyProtection="1">
      <alignment horizontal="right" vertical="center"/>
      <protection locked="0"/>
    </xf>
    <xf numFmtId="165" fontId="15" fillId="0" borderId="51" xfId="1" applyNumberFormat="1" applyFont="1" applyBorder="1" applyProtection="1">
      <alignment vertical="center"/>
      <protection locked="0"/>
    </xf>
    <xf numFmtId="41" fontId="6" fillId="5" borderId="42" xfId="1" applyNumberFormat="1" applyFont="1" applyFill="1" applyBorder="1" applyAlignment="1">
      <alignment horizontal="right" vertical="center" wrapText="1"/>
    </xf>
    <xf numFmtId="164" fontId="8" fillId="10" borderId="30" xfId="3" applyNumberFormat="1" applyFont="1" applyFill="1" applyBorder="1" applyAlignment="1">
      <alignment horizontal="center" vertical="center"/>
    </xf>
    <xf numFmtId="49" fontId="8" fillId="10" borderId="30" xfId="3" applyNumberFormat="1" applyFont="1" applyFill="1" applyBorder="1" applyAlignment="1">
      <alignment horizontal="center" vertical="center"/>
    </xf>
    <xf numFmtId="165" fontId="11" fillId="5" borderId="52" xfId="1" applyNumberFormat="1" applyFont="1" applyFill="1" applyBorder="1">
      <alignment vertical="center"/>
    </xf>
    <xf numFmtId="38" fontId="11" fillId="3" borderId="53" xfId="1" applyNumberFormat="1" applyFont="1" applyFill="1" applyBorder="1" applyAlignment="1">
      <alignment horizontal="right" vertical="center"/>
    </xf>
    <xf numFmtId="38" fontId="11" fillId="5" borderId="54" xfId="1" applyNumberFormat="1" applyFont="1" applyFill="1" applyBorder="1">
      <alignment vertical="center"/>
    </xf>
    <xf numFmtId="38" fontId="11" fillId="3" borderId="55" xfId="1" applyNumberFormat="1" applyFont="1" applyFill="1" applyBorder="1" applyAlignment="1">
      <alignment horizontal="right" vertical="center"/>
    </xf>
    <xf numFmtId="171" fontId="4" fillId="10" borderId="30" xfId="3" applyNumberFormat="1" applyFont="1" applyFill="1" applyBorder="1" applyAlignment="1">
      <alignment horizontal="center" vertical="center"/>
    </xf>
    <xf numFmtId="9" fontId="18" fillId="6" borderId="9" xfId="1" applyNumberFormat="1" applyFont="1" applyFill="1" applyBorder="1" applyAlignment="1">
      <alignment horizontal="center" vertical="center"/>
    </xf>
    <xf numFmtId="38" fontId="18" fillId="7" borderId="25" xfId="0" applyNumberFormat="1" applyFont="1" applyFill="1" applyBorder="1">
      <alignment vertical="center"/>
    </xf>
    <xf numFmtId="165" fontId="15" fillId="7" borderId="34" xfId="1" applyNumberFormat="1" applyFont="1" applyFill="1" applyBorder="1">
      <alignment vertical="center"/>
    </xf>
    <xf numFmtId="9" fontId="11" fillId="6" borderId="35" xfId="1" applyNumberFormat="1" applyFont="1" applyFill="1" applyBorder="1">
      <alignment vertical="center"/>
    </xf>
    <xf numFmtId="165" fontId="11" fillId="7" borderId="36" xfId="3" applyNumberFormat="1" applyFont="1" applyFill="1" applyBorder="1">
      <alignment vertical="center"/>
    </xf>
    <xf numFmtId="38" fontId="19" fillId="6" borderId="56" xfId="1" applyNumberFormat="1" applyFont="1" applyFill="1" applyBorder="1">
      <alignment vertical="center"/>
    </xf>
    <xf numFmtId="22" fontId="20" fillId="17" borderId="30" xfId="2" applyNumberFormat="1" applyFont="1" applyFill="1" applyBorder="1" applyAlignment="1" applyProtection="1">
      <alignment horizontal="center" vertical="center"/>
    </xf>
    <xf numFmtId="22" fontId="20" fillId="17" borderId="31" xfId="2" applyNumberFormat="1" applyFont="1" applyFill="1" applyBorder="1" applyAlignment="1" applyProtection="1">
      <alignment horizontal="center" vertical="center"/>
    </xf>
    <xf numFmtId="9" fontId="21" fillId="0" borderId="14" xfId="1" applyNumberFormat="1" applyFont="1" applyBorder="1" applyAlignment="1" applyProtection="1">
      <alignment horizontal="center" vertical="center"/>
      <protection locked="0"/>
    </xf>
    <xf numFmtId="38" fontId="18" fillId="7" borderId="26" xfId="0" applyNumberFormat="1" applyFont="1" applyFill="1" applyBorder="1">
      <alignment vertical="center"/>
    </xf>
    <xf numFmtId="165" fontId="15" fillId="7" borderId="38" xfId="1" applyNumberFormat="1" applyFont="1" applyFill="1" applyBorder="1">
      <alignment vertical="center"/>
    </xf>
    <xf numFmtId="9" fontId="11" fillId="6" borderId="39" xfId="1" applyNumberFormat="1" applyFont="1" applyFill="1" applyBorder="1">
      <alignment vertical="center"/>
    </xf>
    <xf numFmtId="165" fontId="15" fillId="0" borderId="12" xfId="1" applyNumberFormat="1" applyFont="1" applyBorder="1" applyProtection="1">
      <alignment vertical="center"/>
      <protection locked="0"/>
    </xf>
    <xf numFmtId="164" fontId="22" fillId="6" borderId="57" xfId="1" applyFont="1" applyFill="1" applyBorder="1" applyAlignment="1">
      <alignment horizontal="right" vertical="center"/>
    </xf>
    <xf numFmtId="164" fontId="4" fillId="10" borderId="30" xfId="3" applyNumberFormat="1" applyFont="1" applyFill="1" applyBorder="1" applyAlignment="1">
      <alignment horizontal="center" vertical="center"/>
    </xf>
    <xf numFmtId="170" fontId="23" fillId="18" borderId="30" xfId="1" applyNumberFormat="1" applyFont="1" applyFill="1" applyBorder="1" applyAlignment="1">
      <alignment horizontal="center" vertical="center"/>
    </xf>
    <xf numFmtId="170" fontId="23" fillId="18" borderId="31" xfId="1" applyNumberFormat="1" applyFont="1" applyFill="1" applyBorder="1" applyAlignment="1">
      <alignment horizontal="center" vertical="center"/>
    </xf>
    <xf numFmtId="49" fontId="18" fillId="6" borderId="14" xfId="1" applyNumberFormat="1" applyFont="1" applyFill="1" applyBorder="1" applyAlignment="1">
      <alignment horizontal="center" vertical="center"/>
    </xf>
    <xf numFmtId="38" fontId="24" fillId="19" borderId="30" xfId="1" applyNumberFormat="1" applyFont="1" applyFill="1" applyBorder="1">
      <alignment vertical="center"/>
    </xf>
    <xf numFmtId="38" fontId="25" fillId="19" borderId="0" xfId="1" applyNumberFormat="1" applyFont="1" applyFill="1" applyAlignment="1">
      <alignment horizontal="right" vertical="center"/>
    </xf>
    <xf numFmtId="38" fontId="26" fillId="18" borderId="47" xfId="1" applyNumberFormat="1" applyFont="1" applyFill="1" applyBorder="1" applyAlignment="1">
      <alignment horizontal="center" vertical="center"/>
    </xf>
    <xf numFmtId="38" fontId="26" fillId="18" borderId="31" xfId="1" applyNumberFormat="1" applyFont="1" applyFill="1" applyBorder="1" applyAlignment="1">
      <alignment horizontal="center" vertical="center"/>
    </xf>
    <xf numFmtId="170" fontId="23" fillId="18" borderId="58" xfId="1" applyNumberFormat="1" applyFont="1" applyFill="1" applyBorder="1" applyAlignment="1">
      <alignment horizontal="center" vertical="center"/>
    </xf>
    <xf numFmtId="170" fontId="23" fillId="18" borderId="59" xfId="1" applyNumberFormat="1" applyFont="1" applyFill="1" applyBorder="1" applyAlignment="1">
      <alignment horizontal="center" vertical="center"/>
    </xf>
    <xf numFmtId="0" fontId="27" fillId="20" borderId="14" xfId="0" applyFont="1" applyFill="1" applyBorder="1" applyAlignment="1">
      <alignment horizontal="center" vertical="center"/>
    </xf>
    <xf numFmtId="0" fontId="27" fillId="20" borderId="26" xfId="0" applyFont="1" applyFill="1" applyBorder="1" applyAlignment="1">
      <alignment horizontal="center" vertical="center"/>
    </xf>
    <xf numFmtId="10" fontId="28" fillId="16" borderId="43" xfId="1" applyNumberFormat="1" applyFont="1" applyFill="1" applyBorder="1" applyAlignment="1">
      <alignment horizontal="center" vertical="center"/>
    </xf>
    <xf numFmtId="164" fontId="26" fillId="20" borderId="60" xfId="1" applyFont="1" applyFill="1" applyBorder="1" applyAlignment="1">
      <alignment horizontal="center" vertical="center"/>
    </xf>
    <xf numFmtId="164" fontId="26" fillId="20" borderId="61" xfId="1" applyFont="1" applyFill="1" applyBorder="1" applyAlignment="1">
      <alignment horizontal="center" vertical="center"/>
    </xf>
    <xf numFmtId="164" fontId="26" fillId="20" borderId="0" xfId="1" applyFont="1" applyFill="1" applyAlignment="1">
      <alignment horizontal="center" vertical="center"/>
    </xf>
    <xf numFmtId="0" fontId="26" fillId="20" borderId="0" xfId="0" applyFont="1" applyFill="1" applyAlignment="1">
      <alignment horizontal="center" vertical="center"/>
    </xf>
    <xf numFmtId="0" fontId="27" fillId="20" borderId="19" xfId="0" applyFont="1" applyFill="1" applyBorder="1" applyAlignment="1">
      <alignment horizontal="center" vertical="center"/>
    </xf>
    <xf numFmtId="0" fontId="27" fillId="20" borderId="27" xfId="0" applyFont="1" applyFill="1" applyBorder="1" applyAlignment="1">
      <alignment horizontal="center" vertical="center"/>
    </xf>
    <xf numFmtId="164" fontId="13" fillId="20" borderId="51" xfId="1" applyFont="1" applyFill="1" applyBorder="1" applyAlignment="1">
      <alignment horizontal="center" vertical="center"/>
    </xf>
    <xf numFmtId="164" fontId="26" fillId="20" borderId="62" xfId="1" applyFont="1" applyFill="1" applyBorder="1" applyAlignment="1">
      <alignment horizontal="center" vertical="center"/>
    </xf>
    <xf numFmtId="164" fontId="26" fillId="20" borderId="63" xfId="1" applyFont="1" applyFill="1" applyBorder="1" applyAlignment="1">
      <alignment horizontal="center" vertical="center"/>
    </xf>
    <xf numFmtId="164" fontId="26" fillId="18" borderId="64" xfId="1" applyFont="1" applyFill="1" applyBorder="1" applyAlignment="1">
      <alignment horizontal="center" vertical="center"/>
    </xf>
    <xf numFmtId="164" fontId="26" fillId="18" borderId="65" xfId="1" applyFont="1" applyFill="1" applyBorder="1" applyAlignment="1">
      <alignment horizontal="center" vertical="center"/>
    </xf>
    <xf numFmtId="164" fontId="26" fillId="18" borderId="66" xfId="1" applyFont="1" applyFill="1" applyBorder="1" applyAlignment="1">
      <alignment horizontal="center" vertical="center" wrapText="1"/>
    </xf>
    <xf numFmtId="164" fontId="3" fillId="0" borderId="9" xfId="1" applyFont="1" applyBorder="1" applyAlignment="1" applyProtection="1">
      <alignment horizontal="center" vertical="center"/>
      <protection locked="0"/>
    </xf>
    <xf numFmtId="49" fontId="3" fillId="0" borderId="7" xfId="1" applyNumberFormat="1" applyFont="1" applyBorder="1" applyAlignment="1" applyProtection="1">
      <alignment horizontal="left" vertical="center"/>
      <protection locked="0"/>
    </xf>
    <xf numFmtId="171" fontId="4" fillId="0" borderId="7" xfId="1" applyNumberFormat="1" applyFont="1" applyBorder="1" applyAlignment="1" applyProtection="1">
      <alignment horizontal="center" vertical="center"/>
      <protection locked="0"/>
    </xf>
    <xf numFmtId="169" fontId="4" fillId="0" borderId="7" xfId="1" applyNumberFormat="1" applyFont="1" applyBorder="1" applyAlignment="1" applyProtection="1">
      <alignment horizontal="center" vertical="center"/>
      <protection locked="0"/>
    </xf>
    <xf numFmtId="38" fontId="15" fillId="0" borderId="7" xfId="1" applyNumberFormat="1" applyFont="1" applyBorder="1" applyProtection="1">
      <alignment vertical="center"/>
      <protection locked="0"/>
    </xf>
    <xf numFmtId="165" fontId="11" fillId="8" borderId="7" xfId="1" applyNumberFormat="1" applyFont="1" applyFill="1" applyBorder="1" applyProtection="1">
      <alignment vertical="center"/>
      <protection locked="0"/>
    </xf>
    <xf numFmtId="165" fontId="15" fillId="0" borderId="7" xfId="1" applyNumberFormat="1" applyFont="1" applyBorder="1" applyProtection="1">
      <alignment vertical="center"/>
      <protection locked="0"/>
    </xf>
    <xf numFmtId="165" fontId="11" fillId="10" borderId="12" xfId="1" applyNumberFormat="1" applyFont="1" applyFill="1" applyBorder="1" applyProtection="1">
      <alignment vertical="center"/>
      <protection locked="0"/>
    </xf>
    <xf numFmtId="9" fontId="14" fillId="0" borderId="7" xfId="1" applyNumberFormat="1" applyFont="1" applyBorder="1" applyAlignment="1" applyProtection="1">
      <alignment horizontal="center" vertical="center"/>
      <protection locked="0"/>
    </xf>
    <xf numFmtId="169" fontId="11" fillId="0" borderId="7" xfId="1" applyNumberFormat="1" applyFont="1" applyBorder="1" applyAlignment="1" applyProtection="1">
      <alignment horizontal="center" vertical="center"/>
      <protection locked="0"/>
    </xf>
    <xf numFmtId="49" fontId="29" fillId="0" borderId="7" xfId="1" applyNumberFormat="1" applyFont="1" applyBorder="1" applyAlignment="1" applyProtection="1">
      <alignment horizontal="left" vertical="center"/>
      <protection locked="0"/>
    </xf>
    <xf numFmtId="0" fontId="6" fillId="0" borderId="7" xfId="1" applyNumberFormat="1" applyFont="1" applyBorder="1" applyAlignment="1" applyProtection="1">
      <alignment horizontal="left" vertical="center"/>
      <protection locked="0"/>
    </xf>
    <xf numFmtId="164" fontId="30" fillId="0" borderId="7" xfId="1" applyFont="1" applyBorder="1" applyAlignment="1" applyProtection="1">
      <alignment horizontal="left" vertical="center"/>
      <protection locked="0"/>
    </xf>
    <xf numFmtId="169" fontId="4" fillId="0" borderId="25" xfId="1" applyNumberFormat="1" applyFont="1" applyBorder="1" applyAlignment="1" applyProtection="1">
      <alignment horizontal="center" vertical="center"/>
      <protection locked="0"/>
    </xf>
    <xf numFmtId="164" fontId="3" fillId="0" borderId="12" xfId="1" applyFont="1" applyBorder="1" applyAlignment="1" applyProtection="1">
      <alignment horizontal="center" vertical="center"/>
      <protection locked="0"/>
    </xf>
    <xf numFmtId="49" fontId="3" fillId="0" borderId="12" xfId="1" applyNumberFormat="1" applyFont="1" applyBorder="1" applyAlignment="1" applyProtection="1">
      <alignment horizontal="left" vertical="center"/>
      <protection locked="0"/>
    </xf>
    <xf numFmtId="171" fontId="4" fillId="0" borderId="12" xfId="1" applyNumberFormat="1" applyFont="1" applyBorder="1" applyAlignment="1" applyProtection="1">
      <alignment horizontal="center" vertical="center"/>
      <protection locked="0"/>
    </xf>
    <xf numFmtId="169" fontId="4" fillId="0" borderId="12" xfId="1" applyNumberFormat="1" applyFont="1" applyBorder="1" applyAlignment="1" applyProtection="1">
      <alignment horizontal="center" vertical="center"/>
      <protection locked="0"/>
    </xf>
    <xf numFmtId="38" fontId="15" fillId="0" borderId="12" xfId="1" applyNumberFormat="1" applyFont="1" applyBorder="1" applyProtection="1">
      <alignment vertical="center"/>
      <protection locked="0"/>
    </xf>
    <xf numFmtId="165" fontId="31" fillId="0" borderId="12" xfId="1" applyNumberFormat="1" applyFont="1" applyBorder="1" applyProtection="1">
      <alignment vertical="center"/>
      <protection locked="0"/>
    </xf>
    <xf numFmtId="9" fontId="32" fillId="0" borderId="12" xfId="1" applyNumberFormat="1" applyFont="1" applyBorder="1" applyAlignment="1" applyProtection="1">
      <alignment horizontal="center" vertical="center"/>
      <protection locked="0"/>
    </xf>
    <xf numFmtId="169" fontId="11" fillId="0" borderId="12" xfId="1" applyNumberFormat="1" applyFont="1" applyBorder="1" applyAlignment="1" applyProtection="1">
      <alignment horizontal="center" vertical="center"/>
      <protection locked="0"/>
    </xf>
    <xf numFmtId="49" fontId="29" fillId="0" borderId="12" xfId="1" applyNumberFormat="1" applyFont="1" applyBorder="1" applyAlignment="1" applyProtection="1">
      <alignment horizontal="left" vertical="center"/>
      <protection locked="0"/>
    </xf>
    <xf numFmtId="0" fontId="6" fillId="0" borderId="12" xfId="1" applyNumberFormat="1" applyFont="1" applyBorder="1" applyAlignment="1" applyProtection="1">
      <alignment horizontal="left" vertical="center"/>
      <protection locked="0"/>
    </xf>
    <xf numFmtId="164" fontId="30" fillId="0" borderId="12" xfId="1" applyFont="1" applyBorder="1" applyAlignment="1" applyProtection="1">
      <alignment horizontal="left" vertical="center"/>
      <protection locked="0"/>
    </xf>
    <xf numFmtId="164" fontId="3" fillId="15" borderId="9" xfId="1" applyFont="1" applyFill="1" applyBorder="1" applyAlignment="1" applyProtection="1">
      <alignment horizontal="center" vertical="center"/>
      <protection locked="0"/>
    </xf>
    <xf numFmtId="49" fontId="3" fillId="15" borderId="7" xfId="1" applyNumberFormat="1" applyFont="1" applyFill="1" applyBorder="1" applyAlignment="1" applyProtection="1">
      <alignment horizontal="left" vertical="center"/>
      <protection locked="0"/>
    </xf>
    <xf numFmtId="171" fontId="4" fillId="15" borderId="7" xfId="1" applyNumberFormat="1" applyFont="1" applyFill="1" applyBorder="1" applyAlignment="1" applyProtection="1">
      <alignment horizontal="center" vertical="center"/>
      <protection locked="0"/>
    </xf>
    <xf numFmtId="169" fontId="4" fillId="15" borderId="7" xfId="1" applyNumberFormat="1" applyFont="1" applyFill="1" applyBorder="1" applyAlignment="1" applyProtection="1">
      <alignment horizontal="center" vertical="center"/>
      <protection locked="0"/>
    </xf>
    <xf numFmtId="38" fontId="15" fillId="15" borderId="7" xfId="1" applyNumberFormat="1" applyFont="1" applyFill="1" applyBorder="1" applyProtection="1">
      <alignment vertical="center"/>
      <protection locked="0"/>
    </xf>
    <xf numFmtId="165" fontId="11" fillId="10" borderId="7" xfId="1" applyNumberFormat="1" applyFont="1" applyFill="1" applyBorder="1" applyProtection="1">
      <alignment vertical="center"/>
      <protection locked="0"/>
    </xf>
    <xf numFmtId="165" fontId="15" fillId="15" borderId="7" xfId="1" applyNumberFormat="1" applyFont="1" applyFill="1" applyBorder="1" applyProtection="1">
      <alignment vertical="center"/>
      <protection locked="0"/>
    </xf>
    <xf numFmtId="165" fontId="31" fillId="15" borderId="7" xfId="1" applyNumberFormat="1" applyFont="1" applyFill="1" applyBorder="1" applyProtection="1">
      <alignment vertical="center"/>
      <protection locked="0"/>
    </xf>
    <xf numFmtId="9" fontId="32" fillId="15" borderId="7" xfId="1" applyNumberFormat="1" applyFont="1" applyFill="1" applyBorder="1" applyAlignment="1" applyProtection="1">
      <alignment horizontal="center" vertical="center"/>
      <protection locked="0"/>
    </xf>
    <xf numFmtId="169" fontId="11" fillId="15" borderId="7" xfId="1" applyNumberFormat="1" applyFont="1" applyFill="1" applyBorder="1" applyAlignment="1" applyProtection="1">
      <alignment horizontal="center" vertical="center"/>
      <protection locked="0"/>
    </xf>
    <xf numFmtId="49" fontId="29" fillId="15" borderId="7" xfId="1" applyNumberFormat="1" applyFont="1" applyFill="1" applyBorder="1" applyAlignment="1" applyProtection="1">
      <alignment horizontal="left" vertical="center"/>
      <protection locked="0"/>
    </xf>
    <xf numFmtId="0" fontId="6" fillId="15" borderId="7" xfId="1" applyNumberFormat="1" applyFont="1" applyFill="1" applyBorder="1" applyAlignment="1" applyProtection="1">
      <alignment horizontal="left" vertical="center"/>
      <protection locked="0"/>
    </xf>
    <xf numFmtId="164" fontId="30" fillId="15" borderId="7" xfId="1" applyFont="1" applyFill="1" applyBorder="1" applyAlignment="1" applyProtection="1">
      <alignment horizontal="left" vertical="center"/>
      <protection locked="0"/>
    </xf>
    <xf numFmtId="169" fontId="4" fillId="15" borderId="25" xfId="1" applyNumberFormat="1" applyFont="1" applyFill="1" applyBorder="1" applyAlignment="1" applyProtection="1">
      <alignment horizontal="center" vertical="center"/>
      <protection locked="0"/>
    </xf>
    <xf numFmtId="164" fontId="3" fillId="0" borderId="14" xfId="1" applyFont="1" applyBorder="1" applyAlignment="1" applyProtection="1">
      <alignment horizontal="center" vertical="center"/>
      <protection locked="0"/>
    </xf>
    <xf numFmtId="169" fontId="4" fillId="0" borderId="26" xfId="1" applyNumberFormat="1" applyFont="1" applyBorder="1" applyAlignment="1" applyProtection="1">
      <alignment horizontal="center" vertical="center"/>
      <protection locked="0"/>
    </xf>
    <xf numFmtId="164" fontId="3" fillId="15" borderId="14" xfId="1" applyFont="1" applyFill="1" applyBorder="1" applyAlignment="1" applyProtection="1">
      <alignment horizontal="center" vertical="center"/>
      <protection locked="0"/>
    </xf>
    <xf numFmtId="49" fontId="3" fillId="15" borderId="12" xfId="1" applyNumberFormat="1" applyFont="1" applyFill="1" applyBorder="1" applyAlignment="1" applyProtection="1">
      <alignment horizontal="left" vertical="center"/>
      <protection locked="0"/>
    </xf>
    <xf numFmtId="171" fontId="4" fillId="15" borderId="12" xfId="1" applyNumberFormat="1" applyFont="1" applyFill="1" applyBorder="1" applyAlignment="1" applyProtection="1">
      <alignment horizontal="center" vertical="center"/>
      <protection locked="0"/>
    </xf>
    <xf numFmtId="169" fontId="4" fillId="15" borderId="12" xfId="1" applyNumberFormat="1" applyFont="1" applyFill="1" applyBorder="1" applyAlignment="1" applyProtection="1">
      <alignment horizontal="center" vertical="center"/>
      <protection locked="0"/>
    </xf>
    <xf numFmtId="38" fontId="15" fillId="15" borderId="12" xfId="1" applyNumberFormat="1" applyFont="1" applyFill="1" applyBorder="1" applyProtection="1">
      <alignment vertical="center"/>
      <protection locked="0"/>
    </xf>
    <xf numFmtId="165" fontId="15" fillId="15" borderId="12" xfId="1" applyNumberFormat="1" applyFont="1" applyFill="1" applyBorder="1" applyProtection="1">
      <alignment vertical="center"/>
      <protection locked="0"/>
    </xf>
    <xf numFmtId="165" fontId="31" fillId="15" borderId="12" xfId="1" applyNumberFormat="1" applyFont="1" applyFill="1" applyBorder="1" applyProtection="1">
      <alignment vertical="center"/>
      <protection locked="0"/>
    </xf>
    <xf numFmtId="9" fontId="32" fillId="15" borderId="12" xfId="1" applyNumberFormat="1" applyFont="1" applyFill="1" applyBorder="1" applyAlignment="1" applyProtection="1">
      <alignment horizontal="center" vertical="center"/>
      <protection locked="0"/>
    </xf>
    <xf numFmtId="169" fontId="11" fillId="15" borderId="12" xfId="1" applyNumberFormat="1" applyFont="1" applyFill="1" applyBorder="1" applyAlignment="1" applyProtection="1">
      <alignment horizontal="center" vertical="center"/>
      <protection locked="0"/>
    </xf>
    <xf numFmtId="49" fontId="29" fillId="15" borderId="12" xfId="1" applyNumberFormat="1" applyFont="1" applyFill="1" applyBorder="1" applyAlignment="1" applyProtection="1">
      <alignment horizontal="left" vertical="center"/>
      <protection locked="0"/>
    </xf>
    <xf numFmtId="0" fontId="6" fillId="15" borderId="12" xfId="1" applyNumberFormat="1" applyFont="1" applyFill="1" applyBorder="1" applyAlignment="1" applyProtection="1">
      <alignment horizontal="left" vertical="center"/>
      <protection locked="0"/>
    </xf>
    <xf numFmtId="164" fontId="30" fillId="15" borderId="12" xfId="1" applyFont="1" applyFill="1" applyBorder="1" applyAlignment="1" applyProtection="1">
      <alignment horizontal="left" vertical="center"/>
      <protection locked="0"/>
    </xf>
    <xf numFmtId="169" fontId="4" fillId="15" borderId="26" xfId="1" applyNumberFormat="1" applyFont="1" applyFill="1" applyBorder="1" applyAlignment="1" applyProtection="1">
      <alignment horizontal="center" vertical="center"/>
      <protection locked="0"/>
    </xf>
    <xf numFmtId="38" fontId="15" fillId="21" borderId="67" xfId="1" applyNumberFormat="1" applyFont="1" applyFill="1" applyBorder="1" applyAlignment="1">
      <alignment horizontal="center" vertical="center"/>
    </xf>
    <xf numFmtId="38" fontId="15" fillId="21" borderId="46" xfId="1" applyNumberFormat="1" applyFont="1" applyFill="1" applyBorder="1" applyAlignment="1">
      <alignment horizontal="center" vertical="center"/>
    </xf>
    <xf numFmtId="38" fontId="15" fillId="21" borderId="68" xfId="1" applyNumberFormat="1" applyFont="1" applyFill="1" applyBorder="1" applyAlignment="1">
      <alignment horizontal="center" vertical="center"/>
    </xf>
    <xf numFmtId="165" fontId="11" fillId="22" borderId="12" xfId="1" applyNumberFormat="1" applyFont="1" applyFill="1" applyBorder="1">
      <alignment vertical="center"/>
    </xf>
    <xf numFmtId="165" fontId="11" fillId="23" borderId="12" xfId="1" applyNumberFormat="1" applyFont="1" applyFill="1" applyBorder="1">
      <alignment vertical="center"/>
    </xf>
    <xf numFmtId="165" fontId="11" fillId="21" borderId="12" xfId="1" applyNumberFormat="1" applyFont="1" applyFill="1" applyBorder="1">
      <alignment vertical="center"/>
    </xf>
    <xf numFmtId="165" fontId="15" fillId="24" borderId="12" xfId="1" applyNumberFormat="1" applyFont="1" applyFill="1" applyBorder="1">
      <alignment vertical="center"/>
    </xf>
    <xf numFmtId="9" fontId="14" fillId="10" borderId="12" xfId="1" applyNumberFormat="1" applyFont="1" applyFill="1" applyBorder="1" applyAlignment="1">
      <alignment horizontal="center" vertical="center"/>
    </xf>
    <xf numFmtId="9" fontId="33" fillId="10" borderId="12" xfId="1" applyNumberFormat="1" applyFont="1" applyFill="1" applyBorder="1" applyAlignment="1">
      <alignment horizontal="center" vertical="center"/>
    </xf>
    <xf numFmtId="169" fontId="30" fillId="21" borderId="46" xfId="1" applyNumberFormat="1" applyFont="1" applyFill="1" applyBorder="1">
      <alignment vertical="center"/>
    </xf>
    <xf numFmtId="169" fontId="34" fillId="25" borderId="46" xfId="1" applyNumberFormat="1" applyFont="1" applyFill="1" applyBorder="1">
      <alignment vertical="center"/>
    </xf>
    <xf numFmtId="169" fontId="30" fillId="25" borderId="46" xfId="1" applyNumberFormat="1" applyFont="1" applyFill="1" applyBorder="1" applyAlignment="1">
      <alignment horizontal="left" vertical="center"/>
    </xf>
    <xf numFmtId="171" fontId="30" fillId="25" borderId="46" xfId="1" applyNumberFormat="1" applyFont="1" applyFill="1" applyBorder="1" applyAlignment="1">
      <alignment horizontal="center" vertical="center"/>
    </xf>
    <xf numFmtId="169" fontId="30" fillId="25" borderId="69" xfId="1" applyNumberFormat="1" applyFont="1" applyFill="1" applyBorder="1" applyAlignment="1">
      <alignment horizontal="center" vertical="center"/>
    </xf>
    <xf numFmtId="166" fontId="35" fillId="19" borderId="14" xfId="2" applyNumberFormat="1" applyFont="1" applyFill="1" applyBorder="1" applyAlignment="1" applyProtection="1">
      <alignment horizontal="left" vertical="center"/>
    </xf>
    <xf numFmtId="38" fontId="35" fillId="19" borderId="12" xfId="2" applyNumberFormat="1" applyFont="1" applyFill="1" applyBorder="1" applyAlignment="1" applyProtection="1">
      <alignment horizontal="center" vertical="center"/>
    </xf>
    <xf numFmtId="168" fontId="35" fillId="19" borderId="12" xfId="1" applyNumberFormat="1" applyFont="1" applyFill="1" applyBorder="1" applyAlignment="1">
      <alignment horizontal="center" vertical="center"/>
    </xf>
    <xf numFmtId="166" fontId="35" fillId="19" borderId="12" xfId="2" applyNumberFormat="1" applyFont="1" applyFill="1" applyBorder="1" applyAlignment="1" applyProtection="1">
      <alignment horizontal="center" vertical="center"/>
    </xf>
    <xf numFmtId="166" fontId="36" fillId="19" borderId="12" xfId="2" applyNumberFormat="1" applyFont="1" applyFill="1" applyBorder="1" applyAlignment="1" applyProtection="1">
      <alignment horizontal="center" vertical="center"/>
    </xf>
    <xf numFmtId="10" fontId="35" fillId="19" borderId="12" xfId="2" applyNumberFormat="1" applyFont="1" applyFill="1" applyBorder="1" applyAlignment="1" applyProtection="1">
      <alignment horizontal="center" vertical="center"/>
    </xf>
    <xf numFmtId="167" fontId="35" fillId="19" borderId="12" xfId="2" applyNumberFormat="1" applyFont="1" applyFill="1" applyBorder="1" applyAlignment="1" applyProtection="1">
      <alignment horizontal="center" vertical="center"/>
    </xf>
    <xf numFmtId="168" fontId="37" fillId="19" borderId="12" xfId="1" applyNumberFormat="1" applyFont="1" applyFill="1" applyBorder="1" applyAlignment="1">
      <alignment horizontal="center" vertical="center"/>
    </xf>
    <xf numFmtId="49" fontId="35" fillId="19" borderId="12" xfId="1" applyNumberFormat="1" applyFont="1" applyFill="1" applyBorder="1" applyAlignment="1">
      <alignment horizontal="center" vertical="center"/>
    </xf>
    <xf numFmtId="164" fontId="35" fillId="19" borderId="12" xfId="1" applyFont="1" applyFill="1" applyBorder="1" applyAlignment="1">
      <alignment horizontal="center" vertical="center"/>
    </xf>
    <xf numFmtId="168" fontId="35" fillId="19" borderId="26" xfId="1" applyNumberFormat="1" applyFont="1" applyFill="1" applyBorder="1" applyAlignment="1">
      <alignment horizontal="center" vertical="center"/>
    </xf>
    <xf numFmtId="164" fontId="26" fillId="18" borderId="19" xfId="1" applyFont="1" applyFill="1" applyBorder="1" applyAlignment="1">
      <alignment horizontal="center" vertical="center"/>
    </xf>
    <xf numFmtId="164" fontId="26" fillId="18" borderId="17" xfId="1" applyFont="1" applyFill="1" applyBorder="1" applyAlignment="1">
      <alignment horizontal="center" vertical="center"/>
    </xf>
    <xf numFmtId="164" fontId="26" fillId="18" borderId="27" xfId="1" applyFont="1" applyFill="1" applyBorder="1" applyAlignment="1">
      <alignment horizontal="center" vertical="center"/>
    </xf>
  </cellXfs>
  <cellStyles count="4">
    <cellStyle name="Normal" xfId="0" builtinId="0"/>
    <cellStyle name="쉼표 [0] 2" xfId="2" xr:uid="{25134A5B-B24E-416F-B2AB-5FB81FA7127E}"/>
    <cellStyle name="표준 2" xfId="3" xr:uid="{1A53DD60-236F-4F73-833F-F5824B27CC2A}"/>
    <cellStyle name="표준 3" xfId="1" xr:uid="{71571786-0978-49AB-BA9A-D88E5533D306}"/>
  </cellStyles>
  <dxfs count="130"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1A87-44DC-4CBD-AC03-138534AE298C}">
  <dimension ref="A1:V84"/>
  <sheetViews>
    <sheetView tabSelected="1" workbookViewId="0">
      <selection activeCell="G12" sqref="G12"/>
    </sheetView>
  </sheetViews>
  <sheetFormatPr defaultRowHeight="15"/>
  <cols>
    <col min="1" max="20" width="10.42578125" customWidth="1"/>
    <col min="21" max="21" width="12.5703125" customWidth="1"/>
    <col min="22" max="22" width="10.42578125" customWidth="1"/>
  </cols>
  <sheetData>
    <row r="1" spans="1:22">
      <c r="A1" s="246" t="s">
        <v>66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4"/>
    </row>
    <row r="2" spans="1:22">
      <c r="A2" s="243" t="s">
        <v>65</v>
      </c>
      <c r="B2" s="235" t="s">
        <v>64</v>
      </c>
      <c r="C2" s="242" t="s">
        <v>11</v>
      </c>
      <c r="D2" s="241" t="s">
        <v>10</v>
      </c>
      <c r="E2" s="240" t="s">
        <v>63</v>
      </c>
      <c r="F2" s="235" t="s">
        <v>62</v>
      </c>
      <c r="G2" s="235" t="s">
        <v>61</v>
      </c>
      <c r="H2" s="235" t="s">
        <v>60</v>
      </c>
      <c r="I2" s="234" t="s">
        <v>9</v>
      </c>
      <c r="J2" s="239" t="s">
        <v>8</v>
      </c>
      <c r="K2" s="234" t="s">
        <v>7</v>
      </c>
      <c r="L2" s="234" t="s">
        <v>6</v>
      </c>
      <c r="M2" s="238" t="s">
        <v>5</v>
      </c>
      <c r="N2" s="234" t="s">
        <v>4</v>
      </c>
      <c r="O2" s="234" t="s">
        <v>3</v>
      </c>
      <c r="P2" s="234" t="s">
        <v>59</v>
      </c>
      <c r="Q2" s="237" t="s">
        <v>1</v>
      </c>
      <c r="R2" s="236" t="s">
        <v>58</v>
      </c>
      <c r="S2" s="235" t="s">
        <v>57</v>
      </c>
      <c r="T2" s="235" t="s">
        <v>56</v>
      </c>
      <c r="U2" s="234" t="s">
        <v>55</v>
      </c>
      <c r="V2" s="233" t="s">
        <v>54</v>
      </c>
    </row>
    <row r="3" spans="1:22">
      <c r="A3" s="232">
        <f>A4</f>
        <v>46190</v>
      </c>
      <c r="B3" s="231">
        <f>B4</f>
        <v>0.74861111111111112</v>
      </c>
      <c r="C3" s="230" t="str">
        <f>C4</f>
        <v>GD003</v>
      </c>
      <c r="D3" s="229" t="str">
        <f>D4</f>
        <v>LEE YOUNGSEOK</v>
      </c>
      <c r="E3" s="228"/>
      <c r="F3" s="186" t="str">
        <f>F4</f>
        <v>AVATAR</v>
      </c>
      <c r="G3" s="227">
        <f>G4</f>
        <v>0.5</v>
      </c>
      <c r="H3" s="226">
        <f>H4</f>
        <v>0</v>
      </c>
      <c r="I3" s="225">
        <f>SUM(I4:I21)</f>
        <v>7735500</v>
      </c>
      <c r="J3" s="225">
        <f>SUM(J4:J21)</f>
        <v>2205700</v>
      </c>
      <c r="K3" s="224">
        <f>SUM(K4:K21)</f>
        <v>5529800</v>
      </c>
      <c r="L3" s="224">
        <f>SUM(L4:L21)</f>
        <v>40437000</v>
      </c>
      <c r="M3" s="222">
        <f>SUM(M4:M21)</f>
        <v>-2764900</v>
      </c>
      <c r="N3" s="223">
        <f>SUM(N4:N21)</f>
        <v>0</v>
      </c>
      <c r="O3" s="223">
        <f>SUM(O4:O21)</f>
        <v>0</v>
      </c>
      <c r="P3" s="223">
        <f>SUM(P4:P21)</f>
        <v>0</v>
      </c>
      <c r="Q3" s="222">
        <f>SUM(Q4:Q21)</f>
        <v>-606555</v>
      </c>
      <c r="R3" s="221"/>
      <c r="S3" s="220"/>
      <c r="T3" s="220"/>
      <c r="U3" s="220"/>
      <c r="V3" s="219"/>
    </row>
    <row r="4" spans="1:22">
      <c r="A4" s="182">
        <v>46190</v>
      </c>
      <c r="B4" s="181">
        <v>0.74861111111111112</v>
      </c>
      <c r="C4" s="189" t="s">
        <v>50</v>
      </c>
      <c r="D4" s="188" t="s">
        <v>53</v>
      </c>
      <c r="E4" s="187">
        <v>97788415</v>
      </c>
      <c r="F4" s="186" t="s">
        <v>52</v>
      </c>
      <c r="G4" s="185">
        <v>0.5</v>
      </c>
      <c r="H4" s="185">
        <v>0</v>
      </c>
      <c r="I4" s="138">
        <v>280000</v>
      </c>
      <c r="J4" s="184">
        <v>700300</v>
      </c>
      <c r="K4" s="172">
        <f>SUM(I4-J4)</f>
        <v>-420300</v>
      </c>
      <c r="L4" s="138">
        <v>512000</v>
      </c>
      <c r="M4" s="172">
        <f>SUM(-K4*G4)+(-L4*H4*$G$25)</f>
        <v>210150</v>
      </c>
      <c r="N4" s="138"/>
      <c r="O4" s="138"/>
      <c r="P4" s="138"/>
      <c r="Q4" s="172">
        <v>-7680</v>
      </c>
      <c r="R4" s="183">
        <v>2000000</v>
      </c>
      <c r="S4" s="182">
        <v>46190</v>
      </c>
      <c r="T4" s="181">
        <v>0.79236111111111107</v>
      </c>
      <c r="U4" s="180" t="s">
        <v>51</v>
      </c>
      <c r="V4" s="179" t="s">
        <v>46</v>
      </c>
    </row>
    <row r="5" spans="1:22">
      <c r="A5" s="182">
        <v>46191</v>
      </c>
      <c r="B5" s="181">
        <v>0.73333333333333328</v>
      </c>
      <c r="C5" s="189" t="s">
        <v>50</v>
      </c>
      <c r="D5" s="188" t="s">
        <v>53</v>
      </c>
      <c r="E5" s="187">
        <v>97788415</v>
      </c>
      <c r="F5" s="186" t="s">
        <v>52</v>
      </c>
      <c r="G5" s="185">
        <v>0.5</v>
      </c>
      <c r="H5" s="185">
        <v>0</v>
      </c>
      <c r="I5" s="138">
        <v>780000</v>
      </c>
      <c r="J5" s="184">
        <v>1419200</v>
      </c>
      <c r="K5" s="172">
        <f>SUM(I5-J5)</f>
        <v>-639200</v>
      </c>
      <c r="L5" s="138">
        <v>1627000</v>
      </c>
      <c r="M5" s="172">
        <f>SUM(-K5*G5)+(-L5*H5*$G$25)</f>
        <v>319600</v>
      </c>
      <c r="N5" s="138"/>
      <c r="O5" s="138"/>
      <c r="P5" s="138"/>
      <c r="Q5" s="172">
        <v>-24405</v>
      </c>
      <c r="R5" s="183">
        <v>2000000</v>
      </c>
      <c r="S5" s="182">
        <v>46191</v>
      </c>
      <c r="T5" s="181">
        <v>0.84444444444444444</v>
      </c>
      <c r="U5" s="180" t="s">
        <v>51</v>
      </c>
      <c r="V5" s="179" t="s">
        <v>46</v>
      </c>
    </row>
    <row r="6" spans="1:22">
      <c r="A6" s="182">
        <v>46191</v>
      </c>
      <c r="B6" s="181">
        <v>0.92013888888888884</v>
      </c>
      <c r="C6" s="189" t="s">
        <v>50</v>
      </c>
      <c r="D6" s="188" t="s">
        <v>53</v>
      </c>
      <c r="E6" s="187">
        <v>97788415</v>
      </c>
      <c r="F6" s="186" t="s">
        <v>52</v>
      </c>
      <c r="G6" s="185">
        <v>0.5</v>
      </c>
      <c r="H6" s="185">
        <v>0</v>
      </c>
      <c r="I6" s="138">
        <v>5030000</v>
      </c>
      <c r="J6" s="184">
        <v>82000</v>
      </c>
      <c r="K6" s="172">
        <f>SUM(I6-J6)</f>
        <v>4948000</v>
      </c>
      <c r="L6" s="138">
        <v>30469000</v>
      </c>
      <c r="M6" s="172">
        <f>SUM(-K6*G6)+(-L6*H6*$G$25)</f>
        <v>-2474000</v>
      </c>
      <c r="N6" s="138"/>
      <c r="O6" s="138"/>
      <c r="P6" s="138"/>
      <c r="Q6" s="172">
        <v>-457035</v>
      </c>
      <c r="R6" s="183">
        <v>15000000</v>
      </c>
      <c r="S6" s="182">
        <v>46192</v>
      </c>
      <c r="T6" s="181">
        <v>5.347222222222222E-2</v>
      </c>
      <c r="U6" s="180"/>
      <c r="V6" s="179" t="s">
        <v>46</v>
      </c>
    </row>
    <row r="7" spans="1:22">
      <c r="A7" s="182">
        <v>46193</v>
      </c>
      <c r="B7" s="181">
        <v>0.54097222222222219</v>
      </c>
      <c r="C7" s="189" t="s">
        <v>50</v>
      </c>
      <c r="D7" s="188" t="s">
        <v>53</v>
      </c>
      <c r="E7" s="187">
        <v>97788415</v>
      </c>
      <c r="F7" s="186" t="s">
        <v>52</v>
      </c>
      <c r="G7" s="185">
        <v>0.5</v>
      </c>
      <c r="H7" s="185">
        <v>0</v>
      </c>
      <c r="I7" s="138">
        <v>757000</v>
      </c>
      <c r="J7" s="184">
        <v>500</v>
      </c>
      <c r="K7" s="172">
        <f>SUM(I7-J7)</f>
        <v>756500</v>
      </c>
      <c r="L7" s="138">
        <v>2532000</v>
      </c>
      <c r="M7" s="172">
        <f>SUM(-K7*G7)+(-L7*H7*$G$25)</f>
        <v>-378250</v>
      </c>
      <c r="N7" s="138"/>
      <c r="O7" s="138"/>
      <c r="P7" s="138"/>
      <c r="Q7" s="172">
        <v>-37980</v>
      </c>
      <c r="R7" s="183">
        <v>1000000</v>
      </c>
      <c r="S7" s="182">
        <v>46193</v>
      </c>
      <c r="T7" s="181">
        <v>0.64513888888888893</v>
      </c>
      <c r="U7" s="180" t="s">
        <v>51</v>
      </c>
      <c r="V7" s="179" t="s">
        <v>46</v>
      </c>
    </row>
    <row r="8" spans="1:22">
      <c r="A8" s="182">
        <v>46200</v>
      </c>
      <c r="B8" s="181">
        <v>0.22083333333333333</v>
      </c>
      <c r="C8" s="189" t="s">
        <v>50</v>
      </c>
      <c r="D8" s="188" t="s">
        <v>49</v>
      </c>
      <c r="E8" s="187" t="s">
        <v>48</v>
      </c>
      <c r="F8" s="186" t="s">
        <v>47</v>
      </c>
      <c r="G8" s="185">
        <v>0.5</v>
      </c>
      <c r="H8" s="185">
        <v>0</v>
      </c>
      <c r="I8" s="138">
        <v>680000</v>
      </c>
      <c r="J8" s="184">
        <v>500</v>
      </c>
      <c r="K8" s="172">
        <f>SUM(I8-J8)</f>
        <v>679500</v>
      </c>
      <c r="L8" s="138">
        <v>3730000</v>
      </c>
      <c r="M8" s="172">
        <f>SUM(-K8*G8)+(-L8*H8*$G$25)</f>
        <v>-339750</v>
      </c>
      <c r="N8" s="138"/>
      <c r="O8" s="138"/>
      <c r="P8" s="138"/>
      <c r="Q8" s="172">
        <v>-55950</v>
      </c>
      <c r="R8" s="183">
        <v>1000000</v>
      </c>
      <c r="S8" s="182">
        <v>46200</v>
      </c>
      <c r="T8" s="181">
        <v>0.34305555555555556</v>
      </c>
      <c r="U8" s="180" t="s">
        <v>51</v>
      </c>
      <c r="V8" s="179" t="s">
        <v>46</v>
      </c>
    </row>
    <row r="9" spans="1:22">
      <c r="A9" s="182">
        <v>46200</v>
      </c>
      <c r="B9" s="181">
        <v>0.34652777777777777</v>
      </c>
      <c r="C9" s="189" t="s">
        <v>50</v>
      </c>
      <c r="D9" s="188" t="s">
        <v>49</v>
      </c>
      <c r="E9" s="187" t="s">
        <v>48</v>
      </c>
      <c r="F9" s="186" t="s">
        <v>47</v>
      </c>
      <c r="G9" s="185">
        <v>0.5</v>
      </c>
      <c r="H9" s="185">
        <v>0</v>
      </c>
      <c r="I9" s="138">
        <v>192000</v>
      </c>
      <c r="J9" s="184">
        <v>1800</v>
      </c>
      <c r="K9" s="172">
        <f>SUM(I9-J9)</f>
        <v>190200</v>
      </c>
      <c r="L9" s="138">
        <v>1498000</v>
      </c>
      <c r="M9" s="172">
        <f>SUM(-K9*G9)+(-L9*H9*$G$25)</f>
        <v>-95100</v>
      </c>
      <c r="N9" s="138"/>
      <c r="O9" s="138"/>
      <c r="P9" s="138"/>
      <c r="Q9" s="172">
        <v>-22470</v>
      </c>
      <c r="R9" s="183">
        <v>1000000</v>
      </c>
      <c r="S9" s="182">
        <v>46200</v>
      </c>
      <c r="T9" s="181">
        <v>0.40694444444444444</v>
      </c>
      <c r="U9" s="180" t="s">
        <v>51</v>
      </c>
      <c r="V9" s="179" t="s">
        <v>46</v>
      </c>
    </row>
    <row r="10" spans="1:22">
      <c r="A10" s="182">
        <v>46200</v>
      </c>
      <c r="B10" s="181">
        <v>0.41041666666666665</v>
      </c>
      <c r="C10" s="189" t="s">
        <v>50</v>
      </c>
      <c r="D10" s="188" t="s">
        <v>49</v>
      </c>
      <c r="E10" s="187" t="s">
        <v>48</v>
      </c>
      <c r="F10" s="186" t="s">
        <v>47</v>
      </c>
      <c r="G10" s="185">
        <v>0.5</v>
      </c>
      <c r="H10" s="185">
        <v>0</v>
      </c>
      <c r="I10" s="138">
        <v>16500</v>
      </c>
      <c r="J10" s="184">
        <v>1400</v>
      </c>
      <c r="K10" s="172">
        <f>SUM(I10-J10)</f>
        <v>15100</v>
      </c>
      <c r="L10" s="138">
        <v>69000</v>
      </c>
      <c r="M10" s="172">
        <f>SUM(-K10*G10)+(-L10*H10*$G$25)</f>
        <v>-7550</v>
      </c>
      <c r="N10" s="138"/>
      <c r="O10" s="138"/>
      <c r="P10" s="138"/>
      <c r="Q10" s="172">
        <v>-1035</v>
      </c>
      <c r="R10" s="183">
        <v>500000</v>
      </c>
      <c r="S10" s="182">
        <v>46200</v>
      </c>
      <c r="T10" s="181">
        <v>0.41597222222222224</v>
      </c>
      <c r="U10" s="180"/>
      <c r="V10" s="179" t="s">
        <v>46</v>
      </c>
    </row>
    <row r="11" spans="1:22">
      <c r="A11" s="205"/>
      <c r="B11" s="181"/>
      <c r="C11" s="189"/>
      <c r="D11" s="188"/>
      <c r="E11" s="187"/>
      <c r="F11" s="186"/>
      <c r="G11" s="185"/>
      <c r="H11" s="185"/>
      <c r="I11" s="138"/>
      <c r="J11" s="184"/>
      <c r="K11" s="172">
        <f>SUM(I11-J11)</f>
        <v>0</v>
      </c>
      <c r="L11" s="138"/>
      <c r="M11" s="172">
        <f>SUM(-K11*G11)+(-L11*H11*$G$25)</f>
        <v>0</v>
      </c>
      <c r="N11" s="138"/>
      <c r="O11" s="138"/>
      <c r="P11" s="138"/>
      <c r="Q11" s="172"/>
      <c r="R11" s="183"/>
      <c r="S11" s="182"/>
      <c r="T11" s="181"/>
      <c r="U11" s="180"/>
      <c r="V11" s="204"/>
    </row>
    <row r="12" spans="1:22">
      <c r="A12" s="218"/>
      <c r="B12" s="208"/>
      <c r="C12" s="217"/>
      <c r="D12" s="216"/>
      <c r="E12" s="215"/>
      <c r="F12" s="214"/>
      <c r="G12" s="213"/>
      <c r="H12" s="213"/>
      <c r="I12" s="211"/>
      <c r="J12" s="212"/>
      <c r="K12" s="172">
        <f>SUM(I12-J12)</f>
        <v>0</v>
      </c>
      <c r="L12" s="211"/>
      <c r="M12" s="172">
        <f>SUM(-K12*G12)+(-L12*H12*$G$25)</f>
        <v>0</v>
      </c>
      <c r="N12" s="211"/>
      <c r="O12" s="211"/>
      <c r="P12" s="211"/>
      <c r="Q12" s="172"/>
      <c r="R12" s="210"/>
      <c r="S12" s="209"/>
      <c r="T12" s="208"/>
      <c r="U12" s="207"/>
      <c r="V12" s="206"/>
    </row>
    <row r="13" spans="1:22">
      <c r="A13" s="205"/>
      <c r="B13" s="181"/>
      <c r="C13" s="189"/>
      <c r="D13" s="188"/>
      <c r="E13" s="187"/>
      <c r="F13" s="186"/>
      <c r="G13" s="185"/>
      <c r="H13" s="185"/>
      <c r="I13" s="138"/>
      <c r="J13" s="184"/>
      <c r="K13" s="172">
        <f>SUM(I13-J13)</f>
        <v>0</v>
      </c>
      <c r="L13" s="138"/>
      <c r="M13" s="172">
        <f>SUM(-K13*G13)+(-L13*H13*$G$25)</f>
        <v>0</v>
      </c>
      <c r="N13" s="138"/>
      <c r="O13" s="138"/>
      <c r="P13" s="138"/>
      <c r="Q13" s="172"/>
      <c r="R13" s="183"/>
      <c r="S13" s="182"/>
      <c r="T13" s="181"/>
      <c r="U13" s="180"/>
      <c r="V13" s="204"/>
    </row>
    <row r="14" spans="1:22">
      <c r="A14" s="218"/>
      <c r="B14" s="208"/>
      <c r="C14" s="217"/>
      <c r="D14" s="216"/>
      <c r="E14" s="215"/>
      <c r="F14" s="214"/>
      <c r="G14" s="213"/>
      <c r="H14" s="213"/>
      <c r="I14" s="211"/>
      <c r="J14" s="212"/>
      <c r="K14" s="172">
        <f>SUM(I14-J14)</f>
        <v>0</v>
      </c>
      <c r="L14" s="211"/>
      <c r="M14" s="172">
        <f>SUM(-K14*G14)+(-L14*H14*$G$25)</f>
        <v>0</v>
      </c>
      <c r="N14" s="211"/>
      <c r="O14" s="211"/>
      <c r="P14" s="211"/>
      <c r="Q14" s="172"/>
      <c r="R14" s="210"/>
      <c r="S14" s="209"/>
      <c r="T14" s="208"/>
      <c r="U14" s="207"/>
      <c r="V14" s="206"/>
    </row>
    <row r="15" spans="1:22">
      <c r="A15" s="205"/>
      <c r="B15" s="181"/>
      <c r="C15" s="189"/>
      <c r="D15" s="188"/>
      <c r="E15" s="187"/>
      <c r="F15" s="186"/>
      <c r="G15" s="185"/>
      <c r="H15" s="185"/>
      <c r="I15" s="138"/>
      <c r="J15" s="184"/>
      <c r="K15" s="172">
        <f>SUM(I15-J15)</f>
        <v>0</v>
      </c>
      <c r="L15" s="138"/>
      <c r="M15" s="172">
        <f>SUM(-K15*G15)+(-L15*H15*$G$25)</f>
        <v>0</v>
      </c>
      <c r="N15" s="138"/>
      <c r="O15" s="138"/>
      <c r="P15" s="138"/>
      <c r="Q15" s="172"/>
      <c r="R15" s="183"/>
      <c r="S15" s="182"/>
      <c r="T15" s="181"/>
      <c r="U15" s="180"/>
      <c r="V15" s="204"/>
    </row>
    <row r="16" spans="1:22">
      <c r="A16" s="203"/>
      <c r="B16" s="192"/>
      <c r="C16" s="202"/>
      <c r="D16" s="201"/>
      <c r="E16" s="200"/>
      <c r="F16" s="199"/>
      <c r="G16" s="198"/>
      <c r="H16" s="198"/>
      <c r="I16" s="196"/>
      <c r="J16" s="197"/>
      <c r="K16" s="172">
        <f>SUM(I16-J16)</f>
        <v>0</v>
      </c>
      <c r="L16" s="196"/>
      <c r="M16" s="172">
        <f>SUM(-K16*G16)+(-L16*H16*$G$25)</f>
        <v>0</v>
      </c>
      <c r="N16" s="196"/>
      <c r="O16" s="196"/>
      <c r="P16" s="196"/>
      <c r="Q16" s="195"/>
      <c r="R16" s="194"/>
      <c r="S16" s="193"/>
      <c r="T16" s="192"/>
      <c r="U16" s="191"/>
      <c r="V16" s="190"/>
    </row>
    <row r="17" spans="1:22">
      <c r="A17" s="182"/>
      <c r="B17" s="181"/>
      <c r="C17" s="189"/>
      <c r="D17" s="188"/>
      <c r="E17" s="187"/>
      <c r="F17" s="186"/>
      <c r="G17" s="185"/>
      <c r="H17" s="185"/>
      <c r="I17" s="138"/>
      <c r="J17" s="184"/>
      <c r="K17" s="172">
        <f>SUM(I17-J17)</f>
        <v>0</v>
      </c>
      <c r="L17" s="138"/>
      <c r="M17" s="172">
        <f>SUM(-K17*G17)+(-L17*H17*$G$25)</f>
        <v>0</v>
      </c>
      <c r="N17" s="138"/>
      <c r="O17" s="138"/>
      <c r="P17" s="138"/>
      <c r="Q17" s="172"/>
      <c r="R17" s="183"/>
      <c r="S17" s="182"/>
      <c r="T17" s="181"/>
      <c r="U17" s="180"/>
      <c r="V17" s="179"/>
    </row>
    <row r="18" spans="1:22">
      <c r="A18" s="182"/>
      <c r="B18" s="181"/>
      <c r="C18" s="189"/>
      <c r="D18" s="188"/>
      <c r="E18" s="187"/>
      <c r="F18" s="186"/>
      <c r="G18" s="185"/>
      <c r="H18" s="185"/>
      <c r="I18" s="138"/>
      <c r="J18" s="184"/>
      <c r="K18" s="172">
        <f>SUM(I18-J18)</f>
        <v>0</v>
      </c>
      <c r="L18" s="138"/>
      <c r="M18" s="172">
        <f>SUM(-K18*G18)+(-L18*H18*$G$25)</f>
        <v>0</v>
      </c>
      <c r="N18" s="138"/>
      <c r="O18" s="138"/>
      <c r="P18" s="138"/>
      <c r="Q18" s="172"/>
      <c r="R18" s="183"/>
      <c r="S18" s="182"/>
      <c r="T18" s="181"/>
      <c r="U18" s="180"/>
      <c r="V18" s="179"/>
    </row>
    <row r="19" spans="1:22">
      <c r="A19" s="182"/>
      <c r="B19" s="181"/>
      <c r="C19" s="189"/>
      <c r="D19" s="188"/>
      <c r="E19" s="187"/>
      <c r="F19" s="186"/>
      <c r="G19" s="185"/>
      <c r="H19" s="185"/>
      <c r="I19" s="138"/>
      <c r="J19" s="184"/>
      <c r="K19" s="172">
        <f>SUM(I19-J19)</f>
        <v>0</v>
      </c>
      <c r="L19" s="138"/>
      <c r="M19" s="172">
        <f>SUM(-K19*G19)+(-L19*H19*$G$25)</f>
        <v>0</v>
      </c>
      <c r="N19" s="138"/>
      <c r="O19" s="138"/>
      <c r="P19" s="138"/>
      <c r="Q19" s="172"/>
      <c r="R19" s="183"/>
      <c r="S19" s="182"/>
      <c r="T19" s="181"/>
      <c r="U19" s="180"/>
      <c r="V19" s="179"/>
    </row>
    <row r="20" spans="1:22">
      <c r="A20" s="182"/>
      <c r="B20" s="181"/>
      <c r="C20" s="189"/>
      <c r="D20" s="188"/>
      <c r="E20" s="187"/>
      <c r="F20" s="186"/>
      <c r="G20" s="185"/>
      <c r="H20" s="185"/>
      <c r="I20" s="138"/>
      <c r="J20" s="184"/>
      <c r="K20" s="172">
        <f>SUM(I20-J20)</f>
        <v>0</v>
      </c>
      <c r="L20" s="138"/>
      <c r="M20" s="172">
        <f>SUM(-K20*G20)+(-L20*H20*$G$25)</f>
        <v>0</v>
      </c>
      <c r="N20" s="138"/>
      <c r="O20" s="138"/>
      <c r="P20" s="138"/>
      <c r="Q20" s="172"/>
      <c r="R20" s="183"/>
      <c r="S20" s="182"/>
      <c r="T20" s="181"/>
      <c r="U20" s="180"/>
      <c r="V20" s="179"/>
    </row>
    <row r="21" spans="1:22">
      <c r="A21" s="178"/>
      <c r="B21" s="167"/>
      <c r="C21" s="177"/>
      <c r="D21" s="176"/>
      <c r="E21" s="175"/>
      <c r="F21" s="174"/>
      <c r="G21" s="173"/>
      <c r="H21" s="173"/>
      <c r="I21" s="171"/>
      <c r="J21" s="171"/>
      <c r="K21" s="172">
        <f>SUM(I21-J21)</f>
        <v>0</v>
      </c>
      <c r="L21" s="171"/>
      <c r="M21" s="172">
        <f>SUM(-K21*G21)+(-L21*H21*$G$25)</f>
        <v>0</v>
      </c>
      <c r="N21" s="171"/>
      <c r="O21" s="171"/>
      <c r="P21" s="171"/>
      <c r="Q21" s="170"/>
      <c r="R21" s="169"/>
      <c r="S21" s="168"/>
      <c r="T21" s="167"/>
      <c r="U21" s="166"/>
      <c r="V21" s="165"/>
    </row>
    <row r="22" spans="1:22">
      <c r="A22" s="164" t="s">
        <v>45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2"/>
    </row>
    <row r="23" spans="1:22" ht="15.75" thickBot="1">
      <c r="A23" s="41"/>
      <c r="B23" s="41"/>
      <c r="C23" s="43"/>
      <c r="D23" s="27"/>
      <c r="E23" s="27"/>
      <c r="F23" s="27"/>
      <c r="G23" s="27"/>
      <c r="H23" s="1"/>
      <c r="I23" s="2"/>
      <c r="J23" s="68"/>
      <c r="K23" s="67"/>
      <c r="L23" s="27"/>
      <c r="M23" s="27"/>
      <c r="N23" s="27"/>
      <c r="O23" s="27"/>
      <c r="P23" s="1"/>
      <c r="Q23" s="27"/>
      <c r="R23" s="27"/>
      <c r="S23" s="27"/>
      <c r="T23" s="27"/>
      <c r="U23" s="1"/>
      <c r="V23" s="1"/>
    </row>
    <row r="24" spans="1:22" ht="15.75" thickBot="1">
      <c r="A24" s="149" t="s">
        <v>39</v>
      </c>
      <c r="B24" s="148"/>
      <c r="C24" s="43"/>
      <c r="D24" s="161" t="s">
        <v>44</v>
      </c>
      <c r="E24" s="160"/>
      <c r="F24" s="160"/>
      <c r="G24" s="159" t="s">
        <v>43</v>
      </c>
      <c r="H24" s="1"/>
      <c r="I24" s="158" t="s">
        <v>42</v>
      </c>
      <c r="J24" s="157"/>
      <c r="K24" s="67"/>
      <c r="L24" s="156" t="s">
        <v>41</v>
      </c>
      <c r="M24" s="156"/>
      <c r="N24" s="156"/>
      <c r="O24" s="156"/>
      <c r="P24" s="1"/>
      <c r="Q24" s="155" t="s">
        <v>40</v>
      </c>
      <c r="R24" s="155"/>
      <c r="S24" s="155"/>
      <c r="T24" s="155"/>
      <c r="U24" s="1"/>
      <c r="V24" s="1"/>
    </row>
    <row r="25" spans="1:22" ht="15.75">
      <c r="A25" s="142"/>
      <c r="B25" s="141"/>
      <c r="C25" s="43"/>
      <c r="D25" s="154"/>
      <c r="E25" s="153"/>
      <c r="F25" s="153"/>
      <c r="G25" s="152">
        <v>1.4999999999999999E-2</v>
      </c>
      <c r="H25" s="1"/>
      <c r="I25" s="151"/>
      <c r="J25" s="150"/>
      <c r="K25" s="67"/>
      <c r="L25" s="149" t="s">
        <v>39</v>
      </c>
      <c r="M25" s="148"/>
      <c r="N25" s="149" t="s">
        <v>39</v>
      </c>
      <c r="O25" s="148"/>
      <c r="P25" s="1"/>
      <c r="Q25" s="149" t="s">
        <v>39</v>
      </c>
      <c r="R25" s="148"/>
      <c r="S25" s="149" t="s">
        <v>39</v>
      </c>
      <c r="T25" s="148"/>
      <c r="U25" s="62"/>
      <c r="V25" s="1"/>
    </row>
    <row r="26" spans="1:22">
      <c r="A26" s="133">
        <f ca="1">NOW()</f>
        <v>46232.464980555553</v>
      </c>
      <c r="B26" s="132"/>
      <c r="C26" s="43"/>
      <c r="D26" s="147" t="s">
        <v>38</v>
      </c>
      <c r="E26" s="146"/>
      <c r="F26" s="145" t="str">
        <f>C3</f>
        <v>GD003</v>
      </c>
      <c r="G26" s="144" t="str">
        <f>D3</f>
        <v>LEE YOUNGSEOK</v>
      </c>
      <c r="H26" s="1"/>
      <c r="I26" s="135">
        <f>L3</f>
        <v>40437000</v>
      </c>
      <c r="J26" s="143" t="s">
        <v>37</v>
      </c>
      <c r="K26" s="67"/>
      <c r="L26" s="142"/>
      <c r="M26" s="141"/>
      <c r="N26" s="142"/>
      <c r="O26" s="141"/>
      <c r="P26" s="1"/>
      <c r="Q26" s="142"/>
      <c r="R26" s="141"/>
      <c r="S26" s="142"/>
      <c r="T26" s="141"/>
      <c r="U26" s="62"/>
      <c r="V26" s="1"/>
    </row>
    <row r="27" spans="1:22">
      <c r="A27" s="114" t="s">
        <v>34</v>
      </c>
      <c r="B27" s="140" t="str">
        <f>$C$3</f>
        <v>GD003</v>
      </c>
      <c r="C27" s="43"/>
      <c r="D27" s="139" t="s">
        <v>36</v>
      </c>
      <c r="E27" s="138">
        <v>0</v>
      </c>
      <c r="F27" s="137">
        <f>G3</f>
        <v>0.5</v>
      </c>
      <c r="G27" s="136">
        <f>SUM(-$G$3*$K$3)</f>
        <v>-2764900</v>
      </c>
      <c r="H27" s="1"/>
      <c r="I27" s="135">
        <f>SUM(I26*J27)</f>
        <v>0</v>
      </c>
      <c r="J27" s="134">
        <v>0</v>
      </c>
      <c r="K27" s="67"/>
      <c r="L27" s="133">
        <f ca="1">NOW()</f>
        <v>46232.464980555553</v>
      </c>
      <c r="M27" s="132"/>
      <c r="N27" s="133">
        <f ca="1">NOW()</f>
        <v>46232.464980555553</v>
      </c>
      <c r="O27" s="132"/>
      <c r="P27" s="1"/>
      <c r="Q27" s="133">
        <f ca="1">NOW()</f>
        <v>46232.464980555553</v>
      </c>
      <c r="R27" s="132"/>
      <c r="S27" s="133">
        <f ca="1">NOW()</f>
        <v>46232.464980555553</v>
      </c>
      <c r="T27" s="132"/>
      <c r="U27" s="62"/>
      <c r="V27" s="1"/>
    </row>
    <row r="28" spans="1:22">
      <c r="A28" s="114" t="s">
        <v>32</v>
      </c>
      <c r="B28" s="120" t="str">
        <f>$D$3</f>
        <v>LEE YOUNGSEOK</v>
      </c>
      <c r="C28" s="43"/>
      <c r="D28" s="131">
        <f>SUM(E28-E27)</f>
        <v>40437000</v>
      </c>
      <c r="E28" s="130">
        <f>SUM(-G30/$G$25)</f>
        <v>40437000</v>
      </c>
      <c r="F28" s="129">
        <f>H3</f>
        <v>0</v>
      </c>
      <c r="G28" s="128">
        <f>SUM(-$L$3*$H$3*$G$25)</f>
        <v>0</v>
      </c>
      <c r="H28" s="1"/>
      <c r="I28" s="127">
        <f>SUM(I26*J28)</f>
        <v>40437000</v>
      </c>
      <c r="J28" s="126">
        <f>SUM(100%-J27)</f>
        <v>1</v>
      </c>
      <c r="K28" s="67"/>
      <c r="L28" s="114" t="s">
        <v>35</v>
      </c>
      <c r="M28" s="125" t="str">
        <f>$C$3</f>
        <v>GD003</v>
      </c>
      <c r="N28" s="114" t="s">
        <v>34</v>
      </c>
      <c r="O28" s="125" t="str">
        <f>$C$3</f>
        <v>GD003</v>
      </c>
      <c r="P28" s="1"/>
      <c r="Q28" s="114" t="s">
        <v>34</v>
      </c>
      <c r="R28" s="125" t="str">
        <f>$C$3</f>
        <v>GD003</v>
      </c>
      <c r="S28" s="114" t="s">
        <v>34</v>
      </c>
      <c r="T28" s="125" t="str">
        <f>$C$3</f>
        <v>GD003</v>
      </c>
      <c r="U28" s="62"/>
      <c r="V28" s="1"/>
    </row>
    <row r="29" spans="1:22">
      <c r="A29" s="114" t="s">
        <v>31</v>
      </c>
      <c r="B29" s="113" t="str">
        <f>$F$3</f>
        <v>AVATAR</v>
      </c>
      <c r="C29" s="43"/>
      <c r="D29" s="124" t="s">
        <v>7</v>
      </c>
      <c r="E29" s="123">
        <f>$K$3</f>
        <v>5529800</v>
      </c>
      <c r="F29" s="122" t="s">
        <v>33</v>
      </c>
      <c r="G29" s="121">
        <f>$M$3</f>
        <v>-2764900</v>
      </c>
      <c r="H29" s="1"/>
      <c r="I29" s="2"/>
      <c r="J29" s="68"/>
      <c r="K29" s="67"/>
      <c r="L29" s="114" t="s">
        <v>32</v>
      </c>
      <c r="M29" s="120" t="str">
        <f>$D$3</f>
        <v>LEE YOUNGSEOK</v>
      </c>
      <c r="N29" s="114" t="s">
        <v>32</v>
      </c>
      <c r="O29" s="119" t="str">
        <f>D35</f>
        <v>JO MINGEUN</v>
      </c>
      <c r="P29" s="1"/>
      <c r="Q29" s="114" t="s">
        <v>32</v>
      </c>
      <c r="R29" s="120" t="str">
        <f>$D$3</f>
        <v>LEE YOUNGSEOK</v>
      </c>
      <c r="S29" s="114" t="s">
        <v>32</v>
      </c>
      <c r="T29" s="119" t="str">
        <f>D35</f>
        <v>JO MINGEUN</v>
      </c>
      <c r="U29" s="62"/>
      <c r="V29" s="1"/>
    </row>
    <row r="30" spans="1:22">
      <c r="A30" s="111" t="s">
        <v>30</v>
      </c>
      <c r="B30" s="110">
        <f>SUM($I$3)</f>
        <v>7735500</v>
      </c>
      <c r="C30" s="43"/>
      <c r="D30" s="118" t="str">
        <f>$D$3</f>
        <v>LEE YOUNGSEOK</v>
      </c>
      <c r="E30" s="117">
        <v>40437000</v>
      </c>
      <c r="F30" s="116">
        <v>1.4999999999999999E-2</v>
      </c>
      <c r="G30" s="115">
        <f>SUM(-E30*F30)</f>
        <v>-606555</v>
      </c>
      <c r="H30" s="1"/>
      <c r="I30" s="2"/>
      <c r="J30" s="68"/>
      <c r="K30" s="67"/>
      <c r="L30" s="114" t="s">
        <v>31</v>
      </c>
      <c r="M30" s="113" t="str">
        <f>$F$3</f>
        <v>AVATAR</v>
      </c>
      <c r="N30" s="114" t="s">
        <v>31</v>
      </c>
      <c r="O30" s="113" t="str">
        <f>$F$3</f>
        <v>AVATAR</v>
      </c>
      <c r="P30" s="1"/>
      <c r="Q30" s="114" t="s">
        <v>31</v>
      </c>
      <c r="R30" s="113" t="str">
        <f>$F$3</f>
        <v>AVATAR</v>
      </c>
      <c r="S30" s="114" t="s">
        <v>31</v>
      </c>
      <c r="T30" s="113" t="str">
        <f>$F$3</f>
        <v>AVATAR</v>
      </c>
      <c r="U30" s="62"/>
      <c r="V30" s="1"/>
    </row>
    <row r="31" spans="1:22">
      <c r="A31" s="108" t="s">
        <v>29</v>
      </c>
      <c r="B31" s="107">
        <f>SUM(-$J$3)</f>
        <v>-2205700</v>
      </c>
      <c r="C31" s="43"/>
      <c r="D31" s="105"/>
      <c r="E31" s="99"/>
      <c r="F31" s="104" t="s">
        <v>24</v>
      </c>
      <c r="G31" s="112">
        <f>$N$3</f>
        <v>0</v>
      </c>
      <c r="H31" s="1"/>
      <c r="I31" s="109"/>
      <c r="J31" s="68"/>
      <c r="K31" s="67"/>
      <c r="L31" s="111" t="s">
        <v>30</v>
      </c>
      <c r="M31" s="110">
        <f>SUM($I$3)</f>
        <v>7735500</v>
      </c>
      <c r="N31" s="111" t="s">
        <v>30</v>
      </c>
      <c r="O31" s="110">
        <f>SUM($I$3)</f>
        <v>7735500</v>
      </c>
      <c r="P31" s="1"/>
      <c r="Q31" s="111" t="s">
        <v>30</v>
      </c>
      <c r="R31" s="110">
        <f>SUM($I$3)</f>
        <v>7735500</v>
      </c>
      <c r="S31" s="111" t="s">
        <v>30</v>
      </c>
      <c r="T31" s="110">
        <f>SUM($I$3)</f>
        <v>7735500</v>
      </c>
      <c r="U31" s="62"/>
      <c r="V31" s="1"/>
    </row>
    <row r="32" spans="1:22">
      <c r="A32" s="102" t="s">
        <v>28</v>
      </c>
      <c r="B32" s="101">
        <f>SUM($K$3)</f>
        <v>5529800</v>
      </c>
      <c r="C32" s="43"/>
      <c r="D32" s="105"/>
      <c r="E32" s="99"/>
      <c r="F32" s="104" t="s">
        <v>22</v>
      </c>
      <c r="G32" s="103">
        <f>$O$3</f>
        <v>0</v>
      </c>
      <c r="H32" s="1"/>
      <c r="I32" s="109"/>
      <c r="J32" s="68"/>
      <c r="K32" s="67"/>
      <c r="L32" s="108" t="s">
        <v>29</v>
      </c>
      <c r="M32" s="107">
        <f>SUM(-$J$3)</f>
        <v>-2205700</v>
      </c>
      <c r="N32" s="108" t="s">
        <v>29</v>
      </c>
      <c r="O32" s="107">
        <f>SUM(-$J$3)</f>
        <v>-2205700</v>
      </c>
      <c r="P32" s="1"/>
      <c r="Q32" s="108" t="s">
        <v>29</v>
      </c>
      <c r="R32" s="107">
        <f>SUM(-$J$3)</f>
        <v>-2205700</v>
      </c>
      <c r="S32" s="108" t="s">
        <v>29</v>
      </c>
      <c r="T32" s="107">
        <f>SUM(-$J$3)</f>
        <v>-2205700</v>
      </c>
      <c r="U32" s="62"/>
      <c r="V32" s="1"/>
    </row>
    <row r="33" spans="1:22">
      <c r="A33" s="96" t="s">
        <v>27</v>
      </c>
      <c r="B33" s="106">
        <f>SUM($L$3)</f>
        <v>40437000</v>
      </c>
      <c r="C33" s="43"/>
      <c r="D33" s="105"/>
      <c r="E33" s="99"/>
      <c r="F33" s="104" t="s">
        <v>18</v>
      </c>
      <c r="G33" s="103">
        <f>$P$3</f>
        <v>0</v>
      </c>
      <c r="H33" s="1"/>
      <c r="I33" s="2"/>
      <c r="J33" s="68"/>
      <c r="K33" s="67"/>
      <c r="L33" s="102" t="s">
        <v>28</v>
      </c>
      <c r="M33" s="101">
        <f>SUM($K$3)</f>
        <v>5529800</v>
      </c>
      <c r="N33" s="102" t="s">
        <v>28</v>
      </c>
      <c r="O33" s="101">
        <f>SUM($K$3)</f>
        <v>5529800</v>
      </c>
      <c r="P33" s="1"/>
      <c r="Q33" s="102" t="s">
        <v>28</v>
      </c>
      <c r="R33" s="101">
        <f>SUM($K$3)</f>
        <v>5529800</v>
      </c>
      <c r="S33" s="102" t="s">
        <v>28</v>
      </c>
      <c r="T33" s="101">
        <f>SUM($K$3)</f>
        <v>5529800</v>
      </c>
      <c r="U33" s="62"/>
      <c r="V33" s="1"/>
    </row>
    <row r="34" spans="1:22">
      <c r="A34" s="90" t="s">
        <v>25</v>
      </c>
      <c r="B34" s="89">
        <f>M3</f>
        <v>-2764900</v>
      </c>
      <c r="C34" s="43"/>
      <c r="D34" s="100"/>
      <c r="E34" s="99"/>
      <c r="F34" s="98" t="s">
        <v>23</v>
      </c>
      <c r="G34" s="97">
        <f>SUM(G30:G33)</f>
        <v>-606555</v>
      </c>
      <c r="H34" s="1"/>
      <c r="I34" s="2"/>
      <c r="J34" s="68"/>
      <c r="K34" s="67"/>
      <c r="L34" s="96" t="s">
        <v>27</v>
      </c>
      <c r="M34" s="95">
        <f>E27</f>
        <v>0</v>
      </c>
      <c r="N34" s="96" t="s">
        <v>27</v>
      </c>
      <c r="O34" s="95">
        <f>SUM($L$3-E27)</f>
        <v>40437000</v>
      </c>
      <c r="P34" s="1"/>
      <c r="Q34" s="96" t="s">
        <v>27</v>
      </c>
      <c r="R34" s="95">
        <f>$E$30</f>
        <v>40437000</v>
      </c>
      <c r="S34" s="96" t="s">
        <v>27</v>
      </c>
      <c r="T34" s="95">
        <f>$E$36</f>
        <v>0</v>
      </c>
      <c r="U34" s="62"/>
      <c r="V34" s="1"/>
    </row>
    <row r="35" spans="1:22">
      <c r="A35" s="76" t="s">
        <v>24</v>
      </c>
      <c r="B35" s="75">
        <f>SUM($N$3)</f>
        <v>0</v>
      </c>
      <c r="C35" s="43"/>
      <c r="D35" s="94" t="s">
        <v>26</v>
      </c>
      <c r="E35" s="93"/>
      <c r="F35" s="92">
        <f>SUM($G$25-F30)</f>
        <v>0</v>
      </c>
      <c r="G35" s="91">
        <f>SUM(-E30*F35)</f>
        <v>0</v>
      </c>
      <c r="H35" s="1"/>
      <c r="I35" s="2"/>
      <c r="J35" s="68"/>
      <c r="K35" s="67"/>
      <c r="L35" s="90" t="s">
        <v>25</v>
      </c>
      <c r="M35" s="89">
        <f>SUM(-M34*1.5%)</f>
        <v>0</v>
      </c>
      <c r="N35" s="90" t="s">
        <v>25</v>
      </c>
      <c r="O35" s="89">
        <f>SUM($M$3-M35)</f>
        <v>-2764900</v>
      </c>
      <c r="P35" s="1"/>
      <c r="Q35" s="90" t="s">
        <v>25</v>
      </c>
      <c r="R35" s="89">
        <f>SUM(-R34*F30)</f>
        <v>-606555</v>
      </c>
      <c r="S35" s="90" t="s">
        <v>25</v>
      </c>
      <c r="T35" s="89">
        <f>SUM($M$3-G30)</f>
        <v>-2158345</v>
      </c>
      <c r="U35" s="62"/>
      <c r="V35" s="1"/>
    </row>
    <row r="36" spans="1:22">
      <c r="A36" s="76" t="s">
        <v>22</v>
      </c>
      <c r="B36" s="75">
        <f>SUM($O$3)</f>
        <v>0</v>
      </c>
      <c r="C36" s="43"/>
      <c r="D36" s="88"/>
      <c r="E36" s="87"/>
      <c r="F36" s="86">
        <f>SUM($G$25)</f>
        <v>1.4999999999999999E-2</v>
      </c>
      <c r="G36" s="85">
        <f>SUM(-E36*F36)</f>
        <v>0</v>
      </c>
      <c r="H36" s="1"/>
      <c r="I36" s="2"/>
      <c r="J36" s="68"/>
      <c r="K36" s="67"/>
      <c r="L36" s="76" t="s">
        <v>24</v>
      </c>
      <c r="M36" s="75">
        <f>$N$3</f>
        <v>0</v>
      </c>
      <c r="N36" s="76" t="s">
        <v>24</v>
      </c>
      <c r="O36" s="75">
        <v>0</v>
      </c>
      <c r="P36" s="1"/>
      <c r="Q36" s="76" t="s">
        <v>24</v>
      </c>
      <c r="R36" s="75">
        <f>$N$3</f>
        <v>0</v>
      </c>
      <c r="S36" s="76" t="s">
        <v>24</v>
      </c>
      <c r="T36" s="75">
        <v>0</v>
      </c>
      <c r="U36" s="62"/>
      <c r="V36" s="1"/>
    </row>
    <row r="37" spans="1:22">
      <c r="A37" s="76" t="s">
        <v>18</v>
      </c>
      <c r="B37" s="75">
        <f>SUM($P$3)</f>
        <v>0</v>
      </c>
      <c r="C37" s="43"/>
      <c r="D37" s="84"/>
      <c r="E37" s="83"/>
      <c r="F37" s="82" t="s">
        <v>23</v>
      </c>
      <c r="G37" s="81">
        <f>SUM(G35:G36)</f>
        <v>0</v>
      </c>
      <c r="H37" s="1"/>
      <c r="I37" s="2"/>
      <c r="J37" s="68"/>
      <c r="K37" s="67"/>
      <c r="L37" s="76" t="s">
        <v>22</v>
      </c>
      <c r="M37" s="75">
        <f>$O$3</f>
        <v>0</v>
      </c>
      <c r="N37" s="76" t="s">
        <v>22</v>
      </c>
      <c r="O37" s="75">
        <v>0</v>
      </c>
      <c r="P37" s="1"/>
      <c r="Q37" s="76" t="s">
        <v>22</v>
      </c>
      <c r="R37" s="75">
        <f>$O$3</f>
        <v>0</v>
      </c>
      <c r="S37" s="76" t="s">
        <v>22</v>
      </c>
      <c r="T37" s="75">
        <v>0</v>
      </c>
      <c r="U37" s="62"/>
      <c r="V37" s="1"/>
    </row>
    <row r="38" spans="1:22" ht="15.75" thickBot="1">
      <c r="A38" s="72" t="s">
        <v>21</v>
      </c>
      <c r="B38" s="71">
        <f>SUM(B34:B37)</f>
        <v>-2764900</v>
      </c>
      <c r="C38" s="43"/>
      <c r="D38" s="80" t="s">
        <v>6</v>
      </c>
      <c r="E38" s="79">
        <f>$L$3</f>
        <v>40437000</v>
      </c>
      <c r="F38" s="78" t="s">
        <v>20</v>
      </c>
      <c r="G38" s="77">
        <f>Q3</f>
        <v>-606555</v>
      </c>
      <c r="H38" s="1"/>
      <c r="I38" s="2"/>
      <c r="J38" s="68" t="s">
        <v>19</v>
      </c>
      <c r="K38" s="67"/>
      <c r="L38" s="76" t="s">
        <v>18</v>
      </c>
      <c r="M38" s="75">
        <f>SUM($P$3)</f>
        <v>0</v>
      </c>
      <c r="N38" s="76" t="s">
        <v>18</v>
      </c>
      <c r="O38" s="75">
        <v>0</v>
      </c>
      <c r="P38" s="1"/>
      <c r="Q38" s="76" t="s">
        <v>18</v>
      </c>
      <c r="R38" s="75">
        <f>SUM($P$3)</f>
        <v>0</v>
      </c>
      <c r="S38" s="76" t="s">
        <v>18</v>
      </c>
      <c r="T38" s="75">
        <v>0</v>
      </c>
      <c r="U38" s="62"/>
      <c r="V38" s="1"/>
    </row>
    <row r="39" spans="1:22" ht="15.75" thickBot="1">
      <c r="A39" s="27"/>
      <c r="B39" s="27"/>
      <c r="C39" s="74"/>
      <c r="D39" s="73"/>
      <c r="E39" s="73"/>
      <c r="F39" s="73"/>
      <c r="G39" s="73"/>
      <c r="H39" s="1"/>
      <c r="I39" s="2"/>
      <c r="J39" s="68"/>
      <c r="K39" s="67"/>
      <c r="L39" s="72" t="s">
        <v>17</v>
      </c>
      <c r="M39" s="71">
        <f>SUM(M35:M38)</f>
        <v>0</v>
      </c>
      <c r="N39" s="72" t="s">
        <v>17</v>
      </c>
      <c r="O39" s="71">
        <f>SUM(O35:O38)</f>
        <v>-2764900</v>
      </c>
      <c r="P39" s="1"/>
      <c r="Q39" s="72" t="s">
        <v>17</v>
      </c>
      <c r="R39" s="71">
        <f>SUM(R35:R38)</f>
        <v>-606555</v>
      </c>
      <c r="S39" s="72" t="s">
        <v>17</v>
      </c>
      <c r="T39" s="71">
        <f>SUM(T35:T38)</f>
        <v>-2158345</v>
      </c>
      <c r="U39" s="1"/>
      <c r="V39" s="1"/>
    </row>
    <row r="40" spans="1:22">
      <c r="A40" s="41"/>
      <c r="B40" s="41"/>
      <c r="C40" s="43"/>
      <c r="D40" s="42"/>
      <c r="E40" s="41"/>
      <c r="F40" s="1"/>
      <c r="G40" s="1"/>
      <c r="H40" s="1"/>
      <c r="I40" s="2"/>
      <c r="J40" s="68"/>
      <c r="K40" s="67"/>
      <c r="L40" s="70" t="s">
        <v>16</v>
      </c>
      <c r="M40" s="70"/>
      <c r="N40" s="69" t="s">
        <v>15</v>
      </c>
      <c r="O40" s="69"/>
      <c r="P40" s="1"/>
      <c r="Q40" s="70" t="s">
        <v>16</v>
      </c>
      <c r="R40" s="70"/>
      <c r="S40" s="69" t="s">
        <v>15</v>
      </c>
      <c r="T40" s="69"/>
      <c r="U40" s="1"/>
      <c r="V40" s="1"/>
    </row>
    <row r="41" spans="1:22" ht="15.75" thickBot="1">
      <c r="A41" s="41"/>
      <c r="B41" s="41"/>
      <c r="C41" s="43"/>
      <c r="D41" s="42"/>
      <c r="E41" s="41"/>
      <c r="F41" s="1"/>
      <c r="G41" s="1"/>
      <c r="H41" s="1"/>
      <c r="I41" s="2"/>
      <c r="J41" s="68"/>
      <c r="K41" s="67"/>
      <c r="L41" s="66" t="s">
        <v>14</v>
      </c>
      <c r="M41" s="66"/>
      <c r="N41" s="66"/>
      <c r="O41" s="66"/>
      <c r="P41" s="1"/>
      <c r="Q41" s="66" t="s">
        <v>13</v>
      </c>
      <c r="R41" s="66"/>
      <c r="S41" s="66"/>
      <c r="T41" s="66"/>
      <c r="U41" s="1"/>
      <c r="V41" s="1"/>
    </row>
    <row r="42" spans="1:22">
      <c r="A42" s="65" t="s">
        <v>12</v>
      </c>
      <c r="B42" s="64"/>
      <c r="C42" s="64"/>
      <c r="D42" s="64"/>
      <c r="E42" s="64"/>
      <c r="F42" s="64"/>
      <c r="G42" s="64"/>
      <c r="H42" s="37"/>
      <c r="I42" s="37"/>
      <c r="J42" s="37"/>
      <c r="K42" s="36"/>
      <c r="L42" s="27"/>
      <c r="M42" s="27"/>
      <c r="N42" s="27"/>
      <c r="O42" s="27"/>
      <c r="P42" s="1"/>
      <c r="Q42" s="27"/>
      <c r="R42" s="27"/>
      <c r="S42" s="27"/>
      <c r="T42" s="2"/>
      <c r="U42" s="1"/>
      <c r="V42" s="1"/>
    </row>
    <row r="43" spans="1:22">
      <c r="A43" s="35" t="s">
        <v>11</v>
      </c>
      <c r="B43" s="34" t="s">
        <v>10</v>
      </c>
      <c r="C43" s="32" t="s">
        <v>9</v>
      </c>
      <c r="D43" s="33" t="s">
        <v>8</v>
      </c>
      <c r="E43" s="32" t="s">
        <v>7</v>
      </c>
      <c r="F43" s="31" t="s">
        <v>6</v>
      </c>
      <c r="G43" s="63" t="s">
        <v>5</v>
      </c>
      <c r="H43" s="29" t="s">
        <v>4</v>
      </c>
      <c r="I43" s="29" t="s">
        <v>3</v>
      </c>
      <c r="J43" s="29" t="s">
        <v>2</v>
      </c>
      <c r="K43" s="28" t="s">
        <v>1</v>
      </c>
      <c r="L43" s="27"/>
      <c r="M43" s="27"/>
      <c r="N43" s="62"/>
      <c r="O43" s="62"/>
      <c r="P43" s="62"/>
      <c r="Q43" s="62"/>
      <c r="R43" s="62"/>
      <c r="S43" s="62"/>
      <c r="T43" s="62"/>
      <c r="U43" s="62"/>
      <c r="V43" s="62"/>
    </row>
    <row r="44" spans="1:22">
      <c r="A44" s="61" t="str">
        <f>$C4</f>
        <v>GD003</v>
      </c>
      <c r="B44" s="60" t="str">
        <f>$D4</f>
        <v>LEE YOUNGSEOK</v>
      </c>
      <c r="C44" s="59">
        <f>$I4</f>
        <v>280000</v>
      </c>
      <c r="D44" s="59">
        <f>$J4</f>
        <v>700300</v>
      </c>
      <c r="E44" s="58">
        <f>$K4</f>
        <v>-420300</v>
      </c>
      <c r="F44" s="57">
        <f>$L4</f>
        <v>512000</v>
      </c>
      <c r="G44" s="56">
        <f>$M4</f>
        <v>210150</v>
      </c>
      <c r="H44" s="55">
        <f>$N4</f>
        <v>0</v>
      </c>
      <c r="I44" s="55">
        <f>$O4</f>
        <v>0</v>
      </c>
      <c r="J44" s="55">
        <f>$P4</f>
        <v>0</v>
      </c>
      <c r="K44" s="54">
        <f>$Q4</f>
        <v>-7680</v>
      </c>
      <c r="L44" s="27"/>
      <c r="M44" s="27"/>
      <c r="N44" s="62"/>
      <c r="O44" s="62"/>
      <c r="P44" s="62"/>
      <c r="Q44" s="62"/>
      <c r="R44" s="62"/>
      <c r="S44" s="62"/>
      <c r="T44" s="62"/>
      <c r="U44" s="62"/>
      <c r="V44" s="62"/>
    </row>
    <row r="45" spans="1:22">
      <c r="A45" s="61" t="str">
        <f>$C5</f>
        <v>GD003</v>
      </c>
      <c r="B45" s="60" t="str">
        <f>$D5</f>
        <v>LEE YOUNGSEOK</v>
      </c>
      <c r="C45" s="59">
        <f>$I5</f>
        <v>780000</v>
      </c>
      <c r="D45" s="59">
        <f>$J5</f>
        <v>1419200</v>
      </c>
      <c r="E45" s="58">
        <f>$K5</f>
        <v>-639200</v>
      </c>
      <c r="F45" s="57">
        <f>$L5</f>
        <v>1627000</v>
      </c>
      <c r="G45" s="56">
        <f>$M5</f>
        <v>319600</v>
      </c>
      <c r="H45" s="55">
        <f>$N5</f>
        <v>0</v>
      </c>
      <c r="I45" s="55">
        <f>$O5</f>
        <v>0</v>
      </c>
      <c r="J45" s="55">
        <f>$P5</f>
        <v>0</v>
      </c>
      <c r="K45" s="54">
        <f>$Q5</f>
        <v>-24405</v>
      </c>
      <c r="L45" s="27"/>
      <c r="M45" s="27"/>
      <c r="N45" s="62"/>
      <c r="O45" s="62"/>
      <c r="P45" s="62"/>
      <c r="Q45" s="62"/>
      <c r="R45" s="62"/>
      <c r="S45" s="62"/>
      <c r="T45" s="62"/>
      <c r="U45" s="62"/>
      <c r="V45" s="62"/>
    </row>
    <row r="46" spans="1:22">
      <c r="A46" s="61" t="str">
        <f>$C6</f>
        <v>GD003</v>
      </c>
      <c r="B46" s="60" t="str">
        <f>$D6</f>
        <v>LEE YOUNGSEOK</v>
      </c>
      <c r="C46" s="59">
        <f>$I6</f>
        <v>5030000</v>
      </c>
      <c r="D46" s="59">
        <f>$J6</f>
        <v>82000</v>
      </c>
      <c r="E46" s="58">
        <f>$K6</f>
        <v>4948000</v>
      </c>
      <c r="F46" s="57">
        <f>$L6</f>
        <v>30469000</v>
      </c>
      <c r="G46" s="56">
        <f>$M6</f>
        <v>-2474000</v>
      </c>
      <c r="H46" s="55">
        <f>$N6</f>
        <v>0</v>
      </c>
      <c r="I46" s="55">
        <f>$O6</f>
        <v>0</v>
      </c>
      <c r="J46" s="55">
        <f>$P6</f>
        <v>0</v>
      </c>
      <c r="K46" s="54">
        <f>$Q6</f>
        <v>-457035</v>
      </c>
      <c r="L46" s="27"/>
      <c r="M46" s="27"/>
      <c r="N46" s="62"/>
      <c r="O46" s="62"/>
      <c r="P46" s="62"/>
      <c r="Q46" s="62"/>
      <c r="R46" s="62"/>
      <c r="S46" s="62"/>
      <c r="T46" s="62"/>
      <c r="U46" s="62"/>
      <c r="V46" s="62"/>
    </row>
    <row r="47" spans="1:22">
      <c r="A47" s="61" t="str">
        <f>$C7</f>
        <v>GD003</v>
      </c>
      <c r="B47" s="60" t="str">
        <f>$D7</f>
        <v>LEE YOUNGSEOK</v>
      </c>
      <c r="C47" s="59">
        <f>$I7</f>
        <v>757000</v>
      </c>
      <c r="D47" s="59">
        <f>$J7</f>
        <v>500</v>
      </c>
      <c r="E47" s="58">
        <f>$K7</f>
        <v>756500</v>
      </c>
      <c r="F47" s="57">
        <f>$L7</f>
        <v>2532000</v>
      </c>
      <c r="G47" s="56">
        <f>$M7</f>
        <v>-378250</v>
      </c>
      <c r="H47" s="55">
        <f>$N7</f>
        <v>0</v>
      </c>
      <c r="I47" s="55">
        <f>$O7</f>
        <v>0</v>
      </c>
      <c r="J47" s="55">
        <f>$P7</f>
        <v>0</v>
      </c>
      <c r="K47" s="54">
        <f>$Q7</f>
        <v>-37980</v>
      </c>
      <c r="L47" s="27"/>
      <c r="M47" s="27"/>
      <c r="N47" s="62"/>
      <c r="O47" s="62"/>
      <c r="P47" s="62"/>
      <c r="Q47" s="62"/>
      <c r="R47" s="62"/>
      <c r="S47" s="62"/>
      <c r="T47" s="62"/>
      <c r="U47" s="62"/>
      <c r="V47" s="62"/>
    </row>
    <row r="48" spans="1:22">
      <c r="A48" s="61" t="str">
        <f>$C8</f>
        <v>GD003</v>
      </c>
      <c r="B48" s="60" t="str">
        <f>$D8</f>
        <v>CHO HYUNSIK</v>
      </c>
      <c r="C48" s="59">
        <f>$I8</f>
        <v>680000</v>
      </c>
      <c r="D48" s="59">
        <f>$J8</f>
        <v>500</v>
      </c>
      <c r="E48" s="58">
        <f>$K8</f>
        <v>679500</v>
      </c>
      <c r="F48" s="57">
        <f>$L8</f>
        <v>3730000</v>
      </c>
      <c r="G48" s="56">
        <f>$M8</f>
        <v>-339750</v>
      </c>
      <c r="H48" s="55">
        <f>$N8</f>
        <v>0</v>
      </c>
      <c r="I48" s="55">
        <f>$O8</f>
        <v>0</v>
      </c>
      <c r="J48" s="55">
        <f>$P8</f>
        <v>0</v>
      </c>
      <c r="K48" s="54">
        <f>$Q8</f>
        <v>-55950</v>
      </c>
      <c r="L48" s="27"/>
      <c r="M48" s="27"/>
      <c r="N48" s="62"/>
      <c r="O48" s="62"/>
      <c r="P48" s="62"/>
      <c r="Q48" s="62"/>
      <c r="R48" s="62"/>
      <c r="S48" s="62"/>
      <c r="T48" s="62"/>
      <c r="U48" s="62"/>
      <c r="V48" s="62"/>
    </row>
    <row r="49" spans="1:22">
      <c r="A49" s="61" t="str">
        <f>$C9</f>
        <v>GD003</v>
      </c>
      <c r="B49" s="60" t="str">
        <f>$D9</f>
        <v>CHO HYUNSIK</v>
      </c>
      <c r="C49" s="59">
        <f>$I9</f>
        <v>192000</v>
      </c>
      <c r="D49" s="59">
        <f>$J9</f>
        <v>1800</v>
      </c>
      <c r="E49" s="58">
        <f>$K9</f>
        <v>190200</v>
      </c>
      <c r="F49" s="57">
        <f>$L9</f>
        <v>1498000</v>
      </c>
      <c r="G49" s="56">
        <f>$M9</f>
        <v>-95100</v>
      </c>
      <c r="H49" s="55">
        <f>$N9</f>
        <v>0</v>
      </c>
      <c r="I49" s="55">
        <f>$O9</f>
        <v>0</v>
      </c>
      <c r="J49" s="55">
        <f>$P9</f>
        <v>0</v>
      </c>
      <c r="K49" s="54">
        <f>$Q9</f>
        <v>-22470</v>
      </c>
      <c r="L49" s="27"/>
      <c r="M49" s="27"/>
      <c r="N49" s="62"/>
      <c r="O49" s="62"/>
      <c r="P49" s="62"/>
      <c r="Q49" s="62"/>
      <c r="R49" s="62"/>
      <c r="S49" s="62"/>
      <c r="T49" s="62"/>
      <c r="U49" s="62"/>
      <c r="V49" s="62"/>
    </row>
    <row r="50" spans="1:22">
      <c r="A50" s="61" t="str">
        <f>$C10</f>
        <v>GD003</v>
      </c>
      <c r="B50" s="60" t="str">
        <f>$D10</f>
        <v>CHO HYUNSIK</v>
      </c>
      <c r="C50" s="59">
        <f>$I10</f>
        <v>16500</v>
      </c>
      <c r="D50" s="59">
        <f>$J10</f>
        <v>1400</v>
      </c>
      <c r="E50" s="58">
        <f>$K10</f>
        <v>15100</v>
      </c>
      <c r="F50" s="57">
        <f>$L10</f>
        <v>69000</v>
      </c>
      <c r="G50" s="56">
        <f>$M10</f>
        <v>-7550</v>
      </c>
      <c r="H50" s="55">
        <f>$N10</f>
        <v>0</v>
      </c>
      <c r="I50" s="55">
        <f>$O10</f>
        <v>0</v>
      </c>
      <c r="J50" s="55">
        <f>$P10</f>
        <v>0</v>
      </c>
      <c r="K50" s="54">
        <f>$Q10</f>
        <v>-1035</v>
      </c>
      <c r="L50" s="27"/>
      <c r="M50" s="27"/>
      <c r="N50" s="62"/>
      <c r="O50" s="62"/>
      <c r="P50" s="62"/>
      <c r="Q50" s="62"/>
      <c r="R50" s="62"/>
      <c r="S50" s="62"/>
      <c r="T50" s="62"/>
      <c r="U50" s="62"/>
      <c r="V50" s="62"/>
    </row>
    <row r="51" spans="1:22">
      <c r="A51" s="61">
        <f>$C11</f>
        <v>0</v>
      </c>
      <c r="B51" s="60">
        <f>$D11</f>
        <v>0</v>
      </c>
      <c r="C51" s="59">
        <f>$I11</f>
        <v>0</v>
      </c>
      <c r="D51" s="59">
        <f>$J11</f>
        <v>0</v>
      </c>
      <c r="E51" s="58">
        <f>$K11</f>
        <v>0</v>
      </c>
      <c r="F51" s="57">
        <f>$L11</f>
        <v>0</v>
      </c>
      <c r="G51" s="56">
        <f>$M11</f>
        <v>0</v>
      </c>
      <c r="H51" s="55">
        <f>$N11</f>
        <v>0</v>
      </c>
      <c r="I51" s="55">
        <f>$O11</f>
        <v>0</v>
      </c>
      <c r="J51" s="55">
        <f>$P11</f>
        <v>0</v>
      </c>
      <c r="K51" s="54">
        <f>$Q11</f>
        <v>0</v>
      </c>
      <c r="L51" s="27"/>
      <c r="M51" s="27"/>
      <c r="N51" s="62"/>
      <c r="O51" s="62"/>
      <c r="P51" s="62"/>
      <c r="Q51" s="62"/>
      <c r="R51" s="62"/>
      <c r="S51" s="62"/>
      <c r="T51" s="62"/>
      <c r="U51" s="62"/>
      <c r="V51" s="62"/>
    </row>
    <row r="52" spans="1:22">
      <c r="A52" s="61">
        <f>$C12</f>
        <v>0</v>
      </c>
      <c r="B52" s="60">
        <f>$D12</f>
        <v>0</v>
      </c>
      <c r="C52" s="59">
        <f>$I12</f>
        <v>0</v>
      </c>
      <c r="D52" s="59">
        <f>$J12</f>
        <v>0</v>
      </c>
      <c r="E52" s="58">
        <f>$K12</f>
        <v>0</v>
      </c>
      <c r="F52" s="57">
        <f>$L12</f>
        <v>0</v>
      </c>
      <c r="G52" s="56">
        <f>$M12</f>
        <v>0</v>
      </c>
      <c r="H52" s="55">
        <f>$N12</f>
        <v>0</v>
      </c>
      <c r="I52" s="55">
        <f>$O12</f>
        <v>0</v>
      </c>
      <c r="J52" s="55">
        <f>$P12</f>
        <v>0</v>
      </c>
      <c r="K52" s="54">
        <f>$Q12</f>
        <v>0</v>
      </c>
      <c r="L52" s="27"/>
      <c r="M52" s="27"/>
      <c r="N52" s="62"/>
      <c r="O52" s="62"/>
      <c r="P52" s="62"/>
      <c r="Q52" s="62"/>
      <c r="R52" s="62"/>
      <c r="S52" s="62"/>
      <c r="T52" s="62"/>
      <c r="U52" s="62"/>
      <c r="V52" s="62"/>
    </row>
    <row r="53" spans="1:22">
      <c r="A53" s="61">
        <f>$C13</f>
        <v>0</v>
      </c>
      <c r="B53" s="60">
        <f>$D13</f>
        <v>0</v>
      </c>
      <c r="C53" s="59">
        <f>$I13</f>
        <v>0</v>
      </c>
      <c r="D53" s="59">
        <f>$J13</f>
        <v>0</v>
      </c>
      <c r="E53" s="58">
        <f>$K13</f>
        <v>0</v>
      </c>
      <c r="F53" s="57">
        <f>$L13</f>
        <v>0</v>
      </c>
      <c r="G53" s="56">
        <f>$M13</f>
        <v>0</v>
      </c>
      <c r="H53" s="55">
        <f>$N13</f>
        <v>0</v>
      </c>
      <c r="I53" s="55">
        <f>$O13</f>
        <v>0</v>
      </c>
      <c r="J53" s="55">
        <f>$P13</f>
        <v>0</v>
      </c>
      <c r="K53" s="54">
        <f>$Q13</f>
        <v>0</v>
      </c>
      <c r="L53" s="27"/>
      <c r="M53" s="27"/>
      <c r="N53" s="27"/>
      <c r="O53" s="27"/>
      <c r="P53" s="27"/>
      <c r="Q53" s="1"/>
      <c r="R53" s="1"/>
      <c r="S53" s="1"/>
      <c r="T53" s="2"/>
      <c r="U53" s="1"/>
      <c r="V53" s="1"/>
    </row>
    <row r="54" spans="1:22">
      <c r="A54" s="61">
        <f>$C14</f>
        <v>0</v>
      </c>
      <c r="B54" s="60">
        <f>$D14</f>
        <v>0</v>
      </c>
      <c r="C54" s="59">
        <f>$I14</f>
        <v>0</v>
      </c>
      <c r="D54" s="59">
        <f>$J14</f>
        <v>0</v>
      </c>
      <c r="E54" s="58">
        <f>$K14</f>
        <v>0</v>
      </c>
      <c r="F54" s="57">
        <f>$L14</f>
        <v>0</v>
      </c>
      <c r="G54" s="56">
        <f>$M14</f>
        <v>0</v>
      </c>
      <c r="H54" s="55">
        <f>$N14</f>
        <v>0</v>
      </c>
      <c r="I54" s="55">
        <f>$O14</f>
        <v>0</v>
      </c>
      <c r="J54" s="55">
        <f>$P14</f>
        <v>0</v>
      </c>
      <c r="K54" s="54">
        <f>$Q14</f>
        <v>0</v>
      </c>
      <c r="L54" s="27"/>
      <c r="M54" s="27"/>
      <c r="N54" s="27"/>
      <c r="O54" s="27"/>
      <c r="P54" s="27"/>
      <c r="Q54" s="1"/>
      <c r="R54" s="1"/>
      <c r="S54" s="1"/>
      <c r="T54" s="2"/>
      <c r="U54" s="1"/>
      <c r="V54" s="1"/>
    </row>
    <row r="55" spans="1:22">
      <c r="A55" s="61">
        <f>$C15</f>
        <v>0</v>
      </c>
      <c r="B55" s="60">
        <f>$D15</f>
        <v>0</v>
      </c>
      <c r="C55" s="59">
        <f>$I15</f>
        <v>0</v>
      </c>
      <c r="D55" s="59">
        <f>$J15</f>
        <v>0</v>
      </c>
      <c r="E55" s="58">
        <f>$K15</f>
        <v>0</v>
      </c>
      <c r="F55" s="57">
        <f>$L15</f>
        <v>0</v>
      </c>
      <c r="G55" s="56">
        <f>$M15</f>
        <v>0</v>
      </c>
      <c r="H55" s="55">
        <f>$N15</f>
        <v>0</v>
      </c>
      <c r="I55" s="55">
        <f>$O15</f>
        <v>0</v>
      </c>
      <c r="J55" s="55">
        <f>$P15</f>
        <v>0</v>
      </c>
      <c r="K55" s="54">
        <f>$Q15</f>
        <v>0</v>
      </c>
      <c r="L55" s="27"/>
      <c r="M55" s="27"/>
      <c r="N55" s="27"/>
      <c r="O55" s="27"/>
      <c r="P55" s="27"/>
      <c r="Q55" s="1"/>
      <c r="R55" s="1"/>
      <c r="S55" s="1"/>
      <c r="T55" s="2"/>
      <c r="U55" s="1"/>
      <c r="V55" s="1"/>
    </row>
    <row r="56" spans="1:22">
      <c r="A56" s="61">
        <f>$C16</f>
        <v>0</v>
      </c>
      <c r="B56" s="60">
        <f>$D16</f>
        <v>0</v>
      </c>
      <c r="C56" s="59">
        <f>$I16</f>
        <v>0</v>
      </c>
      <c r="D56" s="59">
        <f>$J16</f>
        <v>0</v>
      </c>
      <c r="E56" s="58">
        <f>$K16</f>
        <v>0</v>
      </c>
      <c r="F56" s="57">
        <f>$L16</f>
        <v>0</v>
      </c>
      <c r="G56" s="56">
        <f>$M16</f>
        <v>0</v>
      </c>
      <c r="H56" s="55">
        <f>$N16</f>
        <v>0</v>
      </c>
      <c r="I56" s="55">
        <f>$O16</f>
        <v>0</v>
      </c>
      <c r="J56" s="55">
        <f>$P16</f>
        <v>0</v>
      </c>
      <c r="K56" s="54">
        <f>$Q16</f>
        <v>0</v>
      </c>
      <c r="L56" s="27"/>
      <c r="M56" s="27"/>
      <c r="N56" s="27"/>
      <c r="O56" s="27"/>
      <c r="P56" s="27"/>
      <c r="Q56" s="1"/>
      <c r="R56" s="1"/>
      <c r="S56" s="1"/>
      <c r="T56" s="2"/>
      <c r="U56" s="1"/>
      <c r="V56" s="1"/>
    </row>
    <row r="57" spans="1:22">
      <c r="A57" s="61">
        <f>$C17</f>
        <v>0</v>
      </c>
      <c r="B57" s="60">
        <f>$D17</f>
        <v>0</v>
      </c>
      <c r="C57" s="59">
        <f>$I17</f>
        <v>0</v>
      </c>
      <c r="D57" s="59">
        <f>$J17</f>
        <v>0</v>
      </c>
      <c r="E57" s="58">
        <f>$K17</f>
        <v>0</v>
      </c>
      <c r="F57" s="57">
        <f>$L17</f>
        <v>0</v>
      </c>
      <c r="G57" s="56">
        <f>$M17</f>
        <v>0</v>
      </c>
      <c r="H57" s="55">
        <f>$N17</f>
        <v>0</v>
      </c>
      <c r="I57" s="55">
        <f>$O17</f>
        <v>0</v>
      </c>
      <c r="J57" s="55">
        <f>$P17</f>
        <v>0</v>
      </c>
      <c r="K57" s="54">
        <f>$Q17</f>
        <v>0</v>
      </c>
      <c r="L57" s="27"/>
      <c r="M57" s="27"/>
      <c r="N57" s="27"/>
      <c r="O57" s="27"/>
      <c r="P57" s="27"/>
      <c r="Q57" s="1"/>
      <c r="R57" s="1"/>
      <c r="S57" s="1"/>
      <c r="T57" s="2"/>
      <c r="U57" s="1"/>
      <c r="V57" s="1"/>
    </row>
    <row r="58" spans="1:22">
      <c r="A58" s="61">
        <f>$C18</f>
        <v>0</v>
      </c>
      <c r="B58" s="60">
        <f>$D18</f>
        <v>0</v>
      </c>
      <c r="C58" s="59">
        <f>$I18</f>
        <v>0</v>
      </c>
      <c r="D58" s="59">
        <f>$J18</f>
        <v>0</v>
      </c>
      <c r="E58" s="58">
        <f>$K18</f>
        <v>0</v>
      </c>
      <c r="F58" s="57">
        <f>$L18</f>
        <v>0</v>
      </c>
      <c r="G58" s="56">
        <f>$M18</f>
        <v>0</v>
      </c>
      <c r="H58" s="55">
        <f>$N18</f>
        <v>0</v>
      </c>
      <c r="I58" s="55">
        <f>$O18</f>
        <v>0</v>
      </c>
      <c r="J58" s="55">
        <f>$P18</f>
        <v>0</v>
      </c>
      <c r="K58" s="54">
        <f>$Q18</f>
        <v>0</v>
      </c>
      <c r="L58" s="27"/>
      <c r="M58" s="27"/>
      <c r="N58" s="27"/>
      <c r="O58" s="27"/>
      <c r="P58" s="27"/>
      <c r="Q58" s="1"/>
      <c r="R58" s="1"/>
      <c r="S58" s="1"/>
      <c r="T58" s="2"/>
      <c r="U58" s="1"/>
      <c r="V58" s="1"/>
    </row>
    <row r="59" spans="1:22">
      <c r="A59" s="61">
        <f>$C19</f>
        <v>0</v>
      </c>
      <c r="B59" s="60">
        <f>$D19</f>
        <v>0</v>
      </c>
      <c r="C59" s="59">
        <f>$I19</f>
        <v>0</v>
      </c>
      <c r="D59" s="59">
        <f>$J19</f>
        <v>0</v>
      </c>
      <c r="E59" s="58">
        <f>$K19</f>
        <v>0</v>
      </c>
      <c r="F59" s="57">
        <f>$L19</f>
        <v>0</v>
      </c>
      <c r="G59" s="56">
        <f>$M19</f>
        <v>0</v>
      </c>
      <c r="H59" s="55">
        <f>$N19</f>
        <v>0</v>
      </c>
      <c r="I59" s="55">
        <f>$O19</f>
        <v>0</v>
      </c>
      <c r="J59" s="55">
        <f>$P19</f>
        <v>0</v>
      </c>
      <c r="K59" s="54">
        <f>$Q19</f>
        <v>0</v>
      </c>
      <c r="L59" s="27"/>
      <c r="M59" s="27"/>
      <c r="N59" s="27"/>
      <c r="O59" s="27"/>
      <c r="P59" s="27"/>
      <c r="Q59" s="1"/>
      <c r="R59" s="1"/>
      <c r="S59" s="1"/>
      <c r="T59" s="2"/>
      <c r="U59" s="1"/>
      <c r="V59" s="1"/>
    </row>
    <row r="60" spans="1:22">
      <c r="A60" s="61">
        <f>$C20</f>
        <v>0</v>
      </c>
      <c r="B60" s="60">
        <f>$D20</f>
        <v>0</v>
      </c>
      <c r="C60" s="59">
        <f>$I20</f>
        <v>0</v>
      </c>
      <c r="D60" s="59">
        <f>$J20</f>
        <v>0</v>
      </c>
      <c r="E60" s="58">
        <f>$K20</f>
        <v>0</v>
      </c>
      <c r="F60" s="57">
        <f>$L20</f>
        <v>0</v>
      </c>
      <c r="G60" s="56">
        <f>$M20</f>
        <v>0</v>
      </c>
      <c r="H60" s="55">
        <f>$N20</f>
        <v>0</v>
      </c>
      <c r="I60" s="55">
        <f>$O20</f>
        <v>0</v>
      </c>
      <c r="J60" s="55">
        <f>$P20</f>
        <v>0</v>
      </c>
      <c r="K60" s="54">
        <f>$Q20</f>
        <v>0</v>
      </c>
      <c r="L60" s="27"/>
      <c r="M60" s="27"/>
      <c r="N60" s="27"/>
      <c r="O60" s="27"/>
      <c r="P60" s="27"/>
      <c r="Q60" s="1"/>
      <c r="R60" s="1"/>
      <c r="S60" s="1"/>
      <c r="T60" s="2"/>
      <c r="U60" s="1"/>
      <c r="V60" s="1"/>
    </row>
    <row r="61" spans="1:22">
      <c r="A61" s="53">
        <f>$C21</f>
        <v>0</v>
      </c>
      <c r="B61" s="52">
        <f>$D21</f>
        <v>0</v>
      </c>
      <c r="C61" s="51">
        <f>$I21</f>
        <v>0</v>
      </c>
      <c r="D61" s="51">
        <f>$J21</f>
        <v>0</v>
      </c>
      <c r="E61" s="50">
        <f>$K21</f>
        <v>0</v>
      </c>
      <c r="F61" s="49">
        <f>$L21</f>
        <v>0</v>
      </c>
      <c r="G61" s="48">
        <f>$M21</f>
        <v>0</v>
      </c>
      <c r="H61" s="47">
        <f>$N21</f>
        <v>0</v>
      </c>
      <c r="I61" s="47">
        <f>$O21</f>
        <v>0</v>
      </c>
      <c r="J61" s="47">
        <f>$P21</f>
        <v>0</v>
      </c>
      <c r="K61" s="46">
        <f>$Q21</f>
        <v>0</v>
      </c>
      <c r="L61" s="27"/>
      <c r="M61" s="27"/>
      <c r="N61" s="27"/>
      <c r="O61" s="27"/>
      <c r="P61" s="27"/>
      <c r="Q61" s="1"/>
      <c r="R61" s="1"/>
      <c r="S61" s="1"/>
      <c r="T61" s="2"/>
      <c r="U61" s="1"/>
      <c r="V61" s="1"/>
    </row>
    <row r="62" spans="1:22" ht="15.75" thickBot="1">
      <c r="A62" s="10" t="s">
        <v>0</v>
      </c>
      <c r="B62" s="9"/>
      <c r="C62" s="8">
        <f>SUM(C44:C61)</f>
        <v>7735500</v>
      </c>
      <c r="D62" s="8">
        <f>SUM(D44:D61)</f>
        <v>2205700</v>
      </c>
      <c r="E62" s="7">
        <f>SUM(E44:E61)</f>
        <v>5529800</v>
      </c>
      <c r="F62" s="45">
        <f>SUM(F44:F61)</f>
        <v>40437000</v>
      </c>
      <c r="G62" s="44">
        <f>SUM(G44:G61)</f>
        <v>-2764900</v>
      </c>
      <c r="H62" s="4">
        <f>SUM(H44:H61)</f>
        <v>0</v>
      </c>
      <c r="I62" s="4">
        <f>SUM(I44:I61)</f>
        <v>0</v>
      </c>
      <c r="J62" s="4">
        <f>SUM(J44:J61)</f>
        <v>0</v>
      </c>
      <c r="K62" s="3">
        <f>SUM(K44:K61)</f>
        <v>-606555</v>
      </c>
      <c r="L62" s="1"/>
      <c r="M62" s="1"/>
      <c r="N62" s="1"/>
      <c r="O62" s="1"/>
      <c r="P62" s="1"/>
      <c r="Q62" s="1"/>
      <c r="R62" s="1"/>
      <c r="S62" s="1"/>
      <c r="T62" s="2"/>
      <c r="U62" s="1"/>
      <c r="V62" s="1"/>
    </row>
    <row r="63" spans="1:22" ht="15.75" thickBot="1">
      <c r="A63" s="41"/>
      <c r="B63" s="41"/>
      <c r="C63" s="43"/>
      <c r="D63" s="42"/>
      <c r="E63" s="41"/>
      <c r="F63" s="1"/>
      <c r="G63" s="1"/>
      <c r="H63" s="27"/>
      <c r="I63" s="27"/>
      <c r="J63" s="27"/>
      <c r="K63" s="27"/>
      <c r="L63" s="27"/>
      <c r="M63" s="27"/>
      <c r="N63" s="27"/>
      <c r="O63" s="27"/>
      <c r="P63" s="27"/>
      <c r="Q63" s="1"/>
      <c r="R63" s="1"/>
      <c r="S63" s="1"/>
      <c r="T63" s="2"/>
      <c r="U63" s="1"/>
      <c r="V63" s="1"/>
    </row>
    <row r="64" spans="1:22">
      <c r="A64" s="40" t="s">
        <v>12</v>
      </c>
      <c r="B64" s="39"/>
      <c r="C64" s="39"/>
      <c r="D64" s="39"/>
      <c r="E64" s="39"/>
      <c r="F64" s="39"/>
      <c r="G64" s="38"/>
      <c r="H64" s="37"/>
      <c r="I64" s="37"/>
      <c r="J64" s="37"/>
      <c r="K64" s="36"/>
      <c r="L64" s="1"/>
      <c r="M64" s="1"/>
      <c r="N64" s="1"/>
      <c r="O64" s="1"/>
      <c r="P64" s="1"/>
      <c r="Q64" s="1"/>
      <c r="R64" s="1"/>
      <c r="S64" s="1"/>
      <c r="T64" s="2"/>
      <c r="U64" s="1"/>
      <c r="V64" s="1"/>
    </row>
    <row r="65" spans="1:22">
      <c r="A65" s="35" t="s">
        <v>11</v>
      </c>
      <c r="B65" s="34" t="s">
        <v>10</v>
      </c>
      <c r="C65" s="32" t="s">
        <v>9</v>
      </c>
      <c r="D65" s="33" t="s">
        <v>8</v>
      </c>
      <c r="E65" s="32" t="s">
        <v>7</v>
      </c>
      <c r="F65" s="31" t="s">
        <v>6</v>
      </c>
      <c r="G65" s="30" t="s">
        <v>5</v>
      </c>
      <c r="H65" s="29" t="s">
        <v>4</v>
      </c>
      <c r="I65" s="29" t="s">
        <v>3</v>
      </c>
      <c r="J65" s="29" t="s">
        <v>2</v>
      </c>
      <c r="K65" s="28" t="s">
        <v>1</v>
      </c>
      <c r="L65" s="1"/>
      <c r="M65" s="1"/>
      <c r="N65" s="1"/>
      <c r="O65" s="1"/>
      <c r="P65" s="1"/>
      <c r="Q65" s="1"/>
      <c r="R65" s="1"/>
      <c r="S65" s="1"/>
      <c r="T65" s="2"/>
      <c r="U65" s="1"/>
      <c r="V65" s="1"/>
    </row>
    <row r="66" spans="1:22">
      <c r="A66" s="26"/>
      <c r="B66" s="25"/>
      <c r="C66" s="24"/>
      <c r="D66" s="24"/>
      <c r="E66" s="23"/>
      <c r="F66" s="22"/>
      <c r="G66" s="21"/>
      <c r="H66" s="20"/>
      <c r="I66" s="20"/>
      <c r="J66" s="20"/>
      <c r="K66" s="19"/>
      <c r="L66" s="27"/>
      <c r="M66" s="27"/>
      <c r="N66" s="27"/>
      <c r="O66" s="27"/>
      <c r="P66" s="1"/>
      <c r="Q66" s="27"/>
      <c r="R66" s="27"/>
      <c r="S66" s="27"/>
      <c r="T66" s="27"/>
      <c r="U66" s="1"/>
      <c r="V66" s="1"/>
    </row>
    <row r="67" spans="1:22">
      <c r="A67" s="26"/>
      <c r="B67" s="25"/>
      <c r="C67" s="24"/>
      <c r="D67" s="24"/>
      <c r="E67" s="23"/>
      <c r="F67" s="22"/>
      <c r="G67" s="21"/>
      <c r="H67" s="20"/>
      <c r="I67" s="20"/>
      <c r="J67" s="20"/>
      <c r="K67" s="19"/>
      <c r="L67" s="27"/>
      <c r="M67" s="27"/>
      <c r="N67" s="1"/>
      <c r="O67" s="1"/>
      <c r="P67" s="1"/>
      <c r="Q67" s="1"/>
      <c r="R67" s="27"/>
      <c r="S67" s="27"/>
      <c r="T67" s="27"/>
      <c r="U67" s="1"/>
      <c r="V67" s="1"/>
    </row>
    <row r="68" spans="1:22">
      <c r="A68" s="26"/>
      <c r="B68" s="25"/>
      <c r="C68" s="24"/>
      <c r="D68" s="24"/>
      <c r="E68" s="23"/>
      <c r="F68" s="22"/>
      <c r="G68" s="21"/>
      <c r="H68" s="20"/>
      <c r="I68" s="20"/>
      <c r="J68" s="20"/>
      <c r="K68" s="19"/>
      <c r="L68" s="27"/>
      <c r="M68" s="27"/>
      <c r="N68" s="1"/>
      <c r="O68" s="1"/>
      <c r="P68" s="1"/>
      <c r="Q68" s="1"/>
      <c r="R68" s="27"/>
      <c r="S68" s="27"/>
      <c r="T68" s="27"/>
      <c r="U68" s="1"/>
      <c r="V68" s="1"/>
    </row>
    <row r="69" spans="1:22">
      <c r="A69" s="26"/>
      <c r="B69" s="25"/>
      <c r="C69" s="24"/>
      <c r="D69" s="24"/>
      <c r="E69" s="23"/>
      <c r="F69" s="22"/>
      <c r="G69" s="21"/>
      <c r="H69" s="20"/>
      <c r="I69" s="20"/>
      <c r="J69" s="20"/>
      <c r="K69" s="19"/>
      <c r="L69" s="27"/>
      <c r="M69" s="27"/>
      <c r="N69" s="1"/>
      <c r="O69" s="1"/>
      <c r="P69" s="1"/>
      <c r="Q69" s="1"/>
      <c r="R69" s="27"/>
      <c r="S69" s="27"/>
      <c r="T69" s="27"/>
      <c r="U69" s="1"/>
      <c r="V69" s="1"/>
    </row>
    <row r="70" spans="1:22">
      <c r="A70" s="26"/>
      <c r="B70" s="25"/>
      <c r="C70" s="24"/>
      <c r="D70" s="24"/>
      <c r="E70" s="23"/>
      <c r="F70" s="22"/>
      <c r="G70" s="21"/>
      <c r="H70" s="20"/>
      <c r="I70" s="20"/>
      <c r="J70" s="20"/>
      <c r="K70" s="19"/>
      <c r="L70" s="27"/>
      <c r="M70" s="27"/>
      <c r="N70" s="1"/>
      <c r="O70" s="1"/>
      <c r="P70" s="1"/>
      <c r="Q70" s="1"/>
      <c r="R70" s="27"/>
      <c r="S70" s="27"/>
      <c r="T70" s="27"/>
      <c r="U70" s="1"/>
      <c r="V70" s="1"/>
    </row>
    <row r="71" spans="1:22">
      <c r="A71" s="26"/>
      <c r="B71" s="25"/>
      <c r="C71" s="24"/>
      <c r="D71" s="24"/>
      <c r="E71" s="23"/>
      <c r="F71" s="22"/>
      <c r="G71" s="21"/>
      <c r="H71" s="20"/>
      <c r="I71" s="20"/>
      <c r="J71" s="20"/>
      <c r="K71" s="19"/>
      <c r="L71" s="27"/>
      <c r="M71" s="27"/>
      <c r="N71" s="1"/>
      <c r="O71" s="1"/>
      <c r="P71" s="1"/>
      <c r="Q71" s="1"/>
      <c r="R71" s="1"/>
      <c r="S71" s="1"/>
      <c r="T71" s="2"/>
      <c r="U71" s="1"/>
      <c r="V71" s="1"/>
    </row>
    <row r="72" spans="1:22">
      <c r="A72" s="26"/>
      <c r="B72" s="25"/>
      <c r="C72" s="24"/>
      <c r="D72" s="24"/>
      <c r="E72" s="23"/>
      <c r="F72" s="22"/>
      <c r="G72" s="21"/>
      <c r="H72" s="20"/>
      <c r="I72" s="20"/>
      <c r="J72" s="20"/>
      <c r="K72" s="19"/>
      <c r="L72" s="27"/>
      <c r="M72" s="27"/>
      <c r="N72" s="1"/>
      <c r="O72" s="1"/>
      <c r="P72" s="1"/>
      <c r="Q72" s="1"/>
      <c r="R72" s="1"/>
      <c r="S72" s="1"/>
      <c r="T72" s="2"/>
      <c r="U72" s="1"/>
      <c r="V72" s="1"/>
    </row>
    <row r="73" spans="1:22">
      <c r="A73" s="26"/>
      <c r="B73" s="25"/>
      <c r="C73" s="24"/>
      <c r="D73" s="24"/>
      <c r="E73" s="23"/>
      <c r="F73" s="22"/>
      <c r="G73" s="21"/>
      <c r="H73" s="20"/>
      <c r="I73" s="20"/>
      <c r="J73" s="20"/>
      <c r="K73" s="19"/>
      <c r="L73" s="27"/>
      <c r="M73" s="27"/>
      <c r="N73" s="1"/>
      <c r="O73" s="1"/>
      <c r="P73" s="1"/>
      <c r="Q73" s="1"/>
      <c r="R73" s="1"/>
      <c r="S73" s="1"/>
      <c r="T73" s="2"/>
      <c r="U73" s="1"/>
      <c r="V73" s="1"/>
    </row>
    <row r="74" spans="1:22">
      <c r="A74" s="26"/>
      <c r="B74" s="25"/>
      <c r="C74" s="24"/>
      <c r="D74" s="24"/>
      <c r="E74" s="23"/>
      <c r="F74" s="22"/>
      <c r="G74" s="21"/>
      <c r="H74" s="20"/>
      <c r="I74" s="20"/>
      <c r="J74" s="20"/>
      <c r="K74" s="19"/>
      <c r="L74" s="27"/>
      <c r="M74" s="27"/>
      <c r="N74" s="1"/>
      <c r="O74" s="1"/>
      <c r="P74" s="1"/>
      <c r="Q74" s="1"/>
      <c r="R74" s="1"/>
      <c r="S74" s="1"/>
      <c r="T74" s="2"/>
      <c r="U74" s="1"/>
      <c r="V74" s="1"/>
    </row>
    <row r="75" spans="1:22">
      <c r="A75" s="26"/>
      <c r="B75" s="25"/>
      <c r="C75" s="24"/>
      <c r="D75" s="24"/>
      <c r="E75" s="23"/>
      <c r="F75" s="22"/>
      <c r="G75" s="21"/>
      <c r="H75" s="20"/>
      <c r="I75" s="20"/>
      <c r="J75" s="20"/>
      <c r="K75" s="19"/>
      <c r="L75" s="27"/>
      <c r="M75" s="27"/>
      <c r="N75" s="1"/>
      <c r="O75" s="1"/>
      <c r="P75" s="1"/>
      <c r="Q75" s="1"/>
      <c r="R75" s="1"/>
      <c r="S75" s="1"/>
      <c r="T75" s="2"/>
      <c r="U75" s="1"/>
      <c r="V75" s="1"/>
    </row>
    <row r="76" spans="1:22">
      <c r="A76" s="26"/>
      <c r="B76" s="25"/>
      <c r="C76" s="24"/>
      <c r="D76" s="24"/>
      <c r="E76" s="23"/>
      <c r="F76" s="22"/>
      <c r="G76" s="21"/>
      <c r="H76" s="20"/>
      <c r="I76" s="20"/>
      <c r="J76" s="20"/>
      <c r="K76" s="19"/>
      <c r="L76" s="27"/>
      <c r="M76" s="27"/>
      <c r="N76" s="1"/>
      <c r="O76" s="1"/>
      <c r="P76" s="1"/>
      <c r="Q76" s="1"/>
      <c r="R76" s="1"/>
      <c r="S76" s="1"/>
      <c r="T76" s="2"/>
      <c r="U76" s="1"/>
      <c r="V76" s="1"/>
    </row>
    <row r="77" spans="1:22">
      <c r="A77" s="26"/>
      <c r="B77" s="25"/>
      <c r="C77" s="24"/>
      <c r="D77" s="24"/>
      <c r="E77" s="23"/>
      <c r="F77" s="22"/>
      <c r="G77" s="21"/>
      <c r="H77" s="20"/>
      <c r="I77" s="20"/>
      <c r="J77" s="20"/>
      <c r="K77" s="19"/>
      <c r="L77" s="27"/>
      <c r="M77" s="27"/>
      <c r="N77" s="1"/>
      <c r="O77" s="1"/>
      <c r="P77" s="1"/>
      <c r="Q77" s="1"/>
      <c r="R77" s="1"/>
      <c r="S77" s="1"/>
      <c r="T77" s="2"/>
      <c r="U77" s="1"/>
      <c r="V77" s="1"/>
    </row>
    <row r="78" spans="1:22">
      <c r="A78" s="26"/>
      <c r="B78" s="25"/>
      <c r="C78" s="24"/>
      <c r="D78" s="24"/>
      <c r="E78" s="23"/>
      <c r="F78" s="22"/>
      <c r="G78" s="21"/>
      <c r="H78" s="20"/>
      <c r="I78" s="20"/>
      <c r="J78" s="20"/>
      <c r="K78" s="19"/>
      <c r="L78" s="27"/>
      <c r="M78" s="27"/>
      <c r="N78" s="1"/>
      <c r="O78" s="1"/>
      <c r="P78" s="1"/>
      <c r="Q78" s="1"/>
      <c r="R78" s="1"/>
      <c r="S78" s="1"/>
      <c r="T78" s="2"/>
      <c r="U78" s="1"/>
      <c r="V78" s="1"/>
    </row>
    <row r="79" spans="1:22">
      <c r="A79" s="26"/>
      <c r="B79" s="25"/>
      <c r="C79" s="24"/>
      <c r="D79" s="24"/>
      <c r="E79" s="23"/>
      <c r="F79" s="22"/>
      <c r="G79" s="21"/>
      <c r="H79" s="20"/>
      <c r="I79" s="20"/>
      <c r="J79" s="20"/>
      <c r="K79" s="19"/>
      <c r="L79" s="27"/>
      <c r="M79" s="27"/>
      <c r="N79" s="1"/>
      <c r="O79" s="1"/>
      <c r="P79" s="1"/>
      <c r="Q79" s="1"/>
      <c r="R79" s="1"/>
      <c r="S79" s="1"/>
      <c r="T79" s="2"/>
      <c r="U79" s="1"/>
      <c r="V79" s="1"/>
    </row>
    <row r="80" spans="1:22">
      <c r="A80" s="26"/>
      <c r="B80" s="25"/>
      <c r="C80" s="24"/>
      <c r="D80" s="24"/>
      <c r="E80" s="23"/>
      <c r="F80" s="22"/>
      <c r="G80" s="21"/>
      <c r="H80" s="20"/>
      <c r="I80" s="20"/>
      <c r="J80" s="20"/>
      <c r="K80" s="19"/>
      <c r="L80" s="27"/>
      <c r="M80" s="27"/>
      <c r="N80" s="1"/>
      <c r="O80" s="1"/>
      <c r="P80" s="1"/>
      <c r="Q80" s="1"/>
      <c r="R80" s="1"/>
      <c r="S80" s="1"/>
      <c r="T80" s="2"/>
      <c r="U80" s="1"/>
      <c r="V80" s="1"/>
    </row>
    <row r="81" spans="1:22">
      <c r="A81" s="26"/>
      <c r="B81" s="25"/>
      <c r="C81" s="24"/>
      <c r="D81" s="24"/>
      <c r="E81" s="23"/>
      <c r="F81" s="22"/>
      <c r="G81" s="21"/>
      <c r="H81" s="20"/>
      <c r="I81" s="20"/>
      <c r="J81" s="20"/>
      <c r="K81" s="19"/>
      <c r="L81" s="27"/>
      <c r="M81" s="27"/>
      <c r="N81" s="1"/>
      <c r="O81" s="1"/>
      <c r="P81" s="1"/>
      <c r="Q81" s="1"/>
      <c r="R81" s="1"/>
      <c r="S81" s="1"/>
      <c r="T81" s="2"/>
      <c r="U81" s="1"/>
      <c r="V81" s="1"/>
    </row>
    <row r="82" spans="1:22">
      <c r="A82" s="26"/>
      <c r="B82" s="25"/>
      <c r="C82" s="24"/>
      <c r="D82" s="24"/>
      <c r="E82" s="23"/>
      <c r="F82" s="22"/>
      <c r="G82" s="21"/>
      <c r="H82" s="20"/>
      <c r="I82" s="20"/>
      <c r="J82" s="20"/>
      <c r="K82" s="19"/>
      <c r="L82" s="1"/>
      <c r="M82" s="1"/>
      <c r="N82" s="1"/>
      <c r="O82" s="1"/>
      <c r="P82" s="1"/>
      <c r="Q82" s="1"/>
      <c r="R82" s="1"/>
      <c r="S82" s="1"/>
      <c r="T82" s="2"/>
      <c r="U82" s="1"/>
      <c r="V82" s="1"/>
    </row>
    <row r="83" spans="1:22">
      <c r="A83" s="18"/>
      <c r="B83" s="17"/>
      <c r="C83" s="16"/>
      <c r="D83" s="16"/>
      <c r="E83" s="15"/>
      <c r="F83" s="14"/>
      <c r="G83" s="13"/>
      <c r="H83" s="12"/>
      <c r="I83" s="12"/>
      <c r="J83" s="12"/>
      <c r="K83" s="11"/>
      <c r="L83" s="1"/>
      <c r="M83" s="1"/>
      <c r="N83" s="1"/>
      <c r="O83" s="1"/>
      <c r="P83" s="1"/>
      <c r="Q83" s="1"/>
      <c r="R83" s="1"/>
      <c r="S83" s="1"/>
      <c r="T83" s="2"/>
      <c r="U83" s="1"/>
      <c r="V83" s="1"/>
    </row>
    <row r="84" spans="1:22" ht="15.75" thickBot="1">
      <c r="A84" s="10" t="s">
        <v>0</v>
      </c>
      <c r="B84" s="9"/>
      <c r="C84" s="8">
        <f>SUM(C66:C83)</f>
        <v>0</v>
      </c>
      <c r="D84" s="8">
        <f>SUM(D66:D83)</f>
        <v>0</v>
      </c>
      <c r="E84" s="7">
        <f>SUM(E66:E83)</f>
        <v>0</v>
      </c>
      <c r="F84" s="6">
        <f>SUM(F66:F83)</f>
        <v>0</v>
      </c>
      <c r="G84" s="5">
        <f>SUM(G66:G83)</f>
        <v>0</v>
      </c>
      <c r="H84" s="4">
        <f>SUM(H66:H83)</f>
        <v>0</v>
      </c>
      <c r="I84" s="4">
        <f>SUM(I66:I83)</f>
        <v>0</v>
      </c>
      <c r="J84" s="4">
        <f>SUM(J66:J83)</f>
        <v>0</v>
      </c>
      <c r="K84" s="3">
        <f>SUM(K66:K83)</f>
        <v>0</v>
      </c>
      <c r="L84" s="1"/>
      <c r="M84" s="1"/>
      <c r="N84" s="1"/>
      <c r="O84" s="1"/>
      <c r="P84" s="1"/>
      <c r="Q84" s="1"/>
      <c r="R84" s="1"/>
      <c r="S84" s="1"/>
      <c r="T84" s="2"/>
      <c r="U84" s="1"/>
      <c r="V84" s="1"/>
    </row>
  </sheetData>
  <mergeCells count="32">
    <mergeCell ref="A1:V1"/>
    <mergeCell ref="R3:V3"/>
    <mergeCell ref="A22:V22"/>
    <mergeCell ref="A24:B25"/>
    <mergeCell ref="D24:F25"/>
    <mergeCell ref="I24:J25"/>
    <mergeCell ref="L24:O24"/>
    <mergeCell ref="Q24:T24"/>
    <mergeCell ref="L25:M26"/>
    <mergeCell ref="N25:O26"/>
    <mergeCell ref="Q25:R26"/>
    <mergeCell ref="S25:T26"/>
    <mergeCell ref="A26:B26"/>
    <mergeCell ref="D26:E26"/>
    <mergeCell ref="L27:M27"/>
    <mergeCell ref="N27:O27"/>
    <mergeCell ref="Q27:R27"/>
    <mergeCell ref="S27:T27"/>
    <mergeCell ref="D30:D34"/>
    <mergeCell ref="E30:E35"/>
    <mergeCell ref="D35:D37"/>
    <mergeCell ref="E36:E37"/>
    <mergeCell ref="L40:M40"/>
    <mergeCell ref="N40:O40"/>
    <mergeCell ref="A64:G64"/>
    <mergeCell ref="A84:B84"/>
    <mergeCell ref="Q40:R40"/>
    <mergeCell ref="S40:T40"/>
    <mergeCell ref="L41:O41"/>
    <mergeCell ref="Q41:T41"/>
    <mergeCell ref="A42:G42"/>
    <mergeCell ref="A62:B62"/>
  </mergeCells>
  <conditionalFormatting sqref="A4:A16">
    <cfRule type="timePeriod" dxfId="129" priority="5" timePeriod="today">
      <formula>FLOOR(A4,1)=TODAY()</formula>
    </cfRule>
    <cfRule type="timePeriod" dxfId="128" priority="6" timePeriod="yesterday">
      <formula>FLOOR(A4,1)=TODAY()-1</formula>
    </cfRule>
  </conditionalFormatting>
  <conditionalFormatting sqref="A17">
    <cfRule type="timePeriod" dxfId="127" priority="105" timePeriod="today">
      <formula>FLOOR(A17,1)=TODAY()</formula>
    </cfRule>
    <cfRule type="timePeriod" dxfId="126" priority="106" timePeriod="yesterday">
      <formula>FLOOR(A17,1)=TODAY()-1</formula>
    </cfRule>
  </conditionalFormatting>
  <conditionalFormatting sqref="A17:A18">
    <cfRule type="timePeriod" dxfId="125" priority="97" timePeriod="today">
      <formula>FLOOR(A17,1)=TODAY()</formula>
    </cfRule>
    <cfRule type="timePeriod" dxfId="124" priority="98" timePeriod="yesterday">
      <formula>FLOOR(A17,1)=TODAY()-1</formula>
    </cfRule>
  </conditionalFormatting>
  <conditionalFormatting sqref="A18">
    <cfRule type="timePeriod" dxfId="123" priority="59" timePeriod="today">
      <formula>FLOOR(A18,1)=TODAY()</formula>
    </cfRule>
    <cfRule type="timePeriod" dxfId="122" priority="60" timePeriod="yesterday">
      <formula>FLOOR(A18,1)=TODAY()-1</formula>
    </cfRule>
    <cfRule type="timePeriod" dxfId="121" priority="67" timePeriod="today">
      <formula>FLOOR(A18,1)=TODAY()</formula>
    </cfRule>
    <cfRule type="timePeriod" dxfId="120" priority="68" timePeriod="yesterday">
      <formula>FLOOR(A18,1)=TODAY()-1</formula>
    </cfRule>
    <cfRule type="timePeriod" dxfId="119" priority="75" timePeriod="today">
      <formula>FLOOR(A18,1)=TODAY()</formula>
    </cfRule>
    <cfRule type="timePeriod" dxfId="118" priority="76" timePeriod="yesterday">
      <formula>FLOOR(A18,1)=TODAY()-1</formula>
    </cfRule>
    <cfRule type="timePeriod" dxfId="117" priority="83" timePeriod="today">
      <formula>FLOOR(A18,1)=TODAY()</formula>
    </cfRule>
    <cfRule type="timePeriod" dxfId="116" priority="84" timePeriod="yesterday">
      <formula>FLOOR(A18,1)=TODAY()-1</formula>
    </cfRule>
    <cfRule type="timePeriod" dxfId="115" priority="91" timePeriod="today">
      <formula>FLOOR(A18,1)=TODAY()</formula>
    </cfRule>
    <cfRule type="timePeriod" dxfId="114" priority="92" timePeriod="yesterday">
      <formula>FLOOR(A18,1)=TODAY()-1</formula>
    </cfRule>
  </conditionalFormatting>
  <conditionalFormatting sqref="A18:A20">
    <cfRule type="timePeriod" dxfId="113" priority="51" timePeriod="today">
      <formula>FLOOR(A18,1)=TODAY()</formula>
    </cfRule>
    <cfRule type="timePeriod" dxfId="112" priority="52" timePeriod="yesterday">
      <formula>FLOOR(A18,1)=TODAY()-1</formula>
    </cfRule>
  </conditionalFormatting>
  <conditionalFormatting sqref="A19">
    <cfRule type="timePeriod" dxfId="111" priority="15" timePeriod="today">
      <formula>FLOOR(A19,1)=TODAY()</formula>
    </cfRule>
    <cfRule type="timePeriod" dxfId="110" priority="16" timePeriod="yesterday">
      <formula>FLOOR(A19,1)=TODAY()-1</formula>
    </cfRule>
    <cfRule type="timePeriod" dxfId="109" priority="23" timePeriod="today">
      <formula>FLOOR(A19,1)=TODAY()</formula>
    </cfRule>
    <cfRule type="timePeriod" dxfId="108" priority="24" timePeriod="yesterday">
      <formula>FLOOR(A19,1)=TODAY()-1</formula>
    </cfRule>
    <cfRule type="timePeriod" dxfId="107" priority="29" timePeriod="today">
      <formula>FLOOR(A19,1)=TODAY()</formula>
    </cfRule>
    <cfRule type="timePeriod" dxfId="106" priority="30" timePeriod="yesterday">
      <formula>FLOOR(A19,1)=TODAY()-1</formula>
    </cfRule>
    <cfRule type="timePeriod" dxfId="105" priority="35" timePeriod="today">
      <formula>FLOOR(A19,1)=TODAY()</formula>
    </cfRule>
    <cfRule type="timePeriod" dxfId="104" priority="36" timePeriod="yesterday">
      <formula>FLOOR(A19,1)=TODAY()-1</formula>
    </cfRule>
    <cfRule type="timePeriod" dxfId="103" priority="43" timePeriod="today">
      <formula>FLOOR(A19,1)=TODAY()</formula>
    </cfRule>
    <cfRule type="timePeriod" dxfId="102" priority="44" timePeriod="yesterday">
      <formula>FLOOR(A19,1)=TODAY()-1</formula>
    </cfRule>
  </conditionalFormatting>
  <conditionalFormatting sqref="B29">
    <cfRule type="expression" dxfId="101" priority="127">
      <formula>$V29="X"</formula>
    </cfRule>
    <cfRule type="expression" dxfId="100" priority="128">
      <formula>$V29="O"</formula>
    </cfRule>
    <cfRule type="containsText" dxfId="99" priority="129" operator="containsText" text="AVATAR">
      <formula>NOT(ISERROR(SEARCH("AVATAR",B29)))</formula>
    </cfRule>
    <cfRule type="containsText" dxfId="98" priority="130" operator="containsText" text="LIVE">
      <formula>NOT(ISERROR(SEARCH("LIVE",B29)))</formula>
    </cfRule>
  </conditionalFormatting>
  <conditionalFormatting sqref="B5:J16 L5:L16 N5:V16">
    <cfRule type="expression" dxfId="97" priority="1">
      <formula>$V5="X"</formula>
    </cfRule>
    <cfRule type="expression" dxfId="96" priority="2">
      <formula>$V5="O"</formula>
    </cfRule>
  </conditionalFormatting>
  <conditionalFormatting sqref="B17:J17">
    <cfRule type="expression" dxfId="95" priority="99">
      <formula>$V17="X"</formula>
    </cfRule>
    <cfRule type="expression" dxfId="94" priority="100">
      <formula>$V17="O"</formula>
    </cfRule>
  </conditionalFormatting>
  <conditionalFormatting sqref="B17:J18 L17:L18 N17:V18">
    <cfRule type="expression" dxfId="93" priority="93">
      <formula>$V17="X"</formula>
    </cfRule>
    <cfRule type="expression" dxfId="92" priority="94">
      <formula>$V17="O"</formula>
    </cfRule>
  </conditionalFormatting>
  <conditionalFormatting sqref="B18:J18">
    <cfRule type="expression" dxfId="91" priority="53">
      <formula>$V18="X"</formula>
    </cfRule>
    <cfRule type="expression" dxfId="90" priority="54">
      <formula>$V18="O"</formula>
    </cfRule>
    <cfRule type="expression" dxfId="89" priority="61">
      <formula>$V18="X"</formula>
    </cfRule>
    <cfRule type="expression" dxfId="88" priority="62">
      <formula>$V18="O"</formula>
    </cfRule>
    <cfRule type="expression" dxfId="87" priority="69">
      <formula>$V18="X"</formula>
    </cfRule>
    <cfRule type="expression" dxfId="86" priority="70">
      <formula>$V18="O"</formula>
    </cfRule>
    <cfRule type="expression" dxfId="85" priority="77">
      <formula>$V18="X"</formula>
    </cfRule>
    <cfRule type="expression" dxfId="84" priority="78">
      <formula>$V18="O"</formula>
    </cfRule>
    <cfRule type="expression" dxfId="83" priority="85">
      <formula>$V18="X"</formula>
    </cfRule>
    <cfRule type="expression" dxfId="82" priority="86">
      <formula>$V18="O"</formula>
    </cfRule>
  </conditionalFormatting>
  <conditionalFormatting sqref="B18:J20">
    <cfRule type="expression" dxfId="81" priority="45">
      <formula>$V18="X"</formula>
    </cfRule>
    <cfRule type="expression" dxfId="80" priority="46">
      <formula>$V18="O"</formula>
    </cfRule>
  </conditionalFormatting>
  <conditionalFormatting sqref="B19:J19 L19 N19:V19">
    <cfRule type="expression" dxfId="79" priority="11">
      <formula>$V19="X"</formula>
    </cfRule>
    <cfRule type="expression" dxfId="78" priority="12">
      <formula>$V19="O"</formula>
    </cfRule>
    <cfRule type="expression" dxfId="77" priority="25">
      <formula>$V19="X"</formula>
    </cfRule>
    <cfRule type="expression" dxfId="76" priority="26">
      <formula>$V19="O"</formula>
    </cfRule>
    <cfRule type="expression" dxfId="75" priority="31">
      <formula>$V19="X"</formula>
    </cfRule>
    <cfRule type="expression" dxfId="74" priority="32">
      <formula>$V19="O"</formula>
    </cfRule>
  </conditionalFormatting>
  <conditionalFormatting sqref="B19:J19">
    <cfRule type="expression" dxfId="73" priority="17">
      <formula>$V19="X"</formula>
    </cfRule>
    <cfRule type="expression" dxfId="72" priority="18">
      <formula>$V19="O"</formula>
    </cfRule>
    <cfRule type="expression" dxfId="71" priority="37">
      <formula>$V19="X"</formula>
    </cfRule>
    <cfRule type="expression" dxfId="70" priority="38">
      <formula>$V19="O"</formula>
    </cfRule>
  </conditionalFormatting>
  <conditionalFormatting sqref="B4:V4 K5:K21 M5:M21">
    <cfRule type="expression" dxfId="69" priority="7">
      <formula>$V4="X"</formula>
    </cfRule>
    <cfRule type="expression" dxfId="68" priority="8">
      <formula>$V4="O"</formula>
    </cfRule>
  </conditionalFormatting>
  <conditionalFormatting sqref="F3">
    <cfRule type="expression" dxfId="67" priority="123">
      <formula>$V3="X"</formula>
    </cfRule>
    <cfRule type="expression" dxfId="66" priority="124">
      <formula>$V3="O"</formula>
    </cfRule>
    <cfRule type="containsText" dxfId="65" priority="125" operator="containsText" text="AVATAR">
      <formula>NOT(ISERROR(SEARCH("AVATAR",F3)))</formula>
    </cfRule>
    <cfRule type="containsText" dxfId="64" priority="126" operator="containsText" text="LIVE">
      <formula>NOT(ISERROR(SEARCH("LIVE",F3)))</formula>
    </cfRule>
  </conditionalFormatting>
  <conditionalFormatting sqref="F4">
    <cfRule type="containsText" dxfId="63" priority="9" operator="containsText" text="AVATAR">
      <formula>NOT(ISERROR(SEARCH("AVATAR",F4)))</formula>
    </cfRule>
    <cfRule type="containsText" dxfId="62" priority="10" operator="containsText" text="LIVE">
      <formula>NOT(ISERROR(SEARCH("LIVE",F4)))</formula>
    </cfRule>
  </conditionalFormatting>
  <conditionalFormatting sqref="F5:F16">
    <cfRule type="containsText" dxfId="61" priority="3" operator="containsText" text="AVATAR">
      <formula>NOT(ISERROR(SEARCH("AVATAR",F5)))</formula>
    </cfRule>
    <cfRule type="containsText" dxfId="60" priority="4" operator="containsText" text="LIVE">
      <formula>NOT(ISERROR(SEARCH("LIVE",F5)))</formula>
    </cfRule>
  </conditionalFormatting>
  <conditionalFormatting sqref="F17">
    <cfRule type="containsText" dxfId="59" priority="103" operator="containsText" text="AVATAR">
      <formula>NOT(ISERROR(SEARCH("AVATAR",F17)))</formula>
    </cfRule>
    <cfRule type="containsText" dxfId="58" priority="104" operator="containsText" text="LIVE">
      <formula>NOT(ISERROR(SEARCH("LIVE",F17)))</formula>
    </cfRule>
  </conditionalFormatting>
  <conditionalFormatting sqref="F17:F18">
    <cfRule type="containsText" dxfId="57" priority="95" operator="containsText" text="AVATAR">
      <formula>NOT(ISERROR(SEARCH("AVATAR",F17)))</formula>
    </cfRule>
    <cfRule type="containsText" dxfId="56" priority="96" operator="containsText" text="LIVE">
      <formula>NOT(ISERROR(SEARCH("LIVE",F17)))</formula>
    </cfRule>
  </conditionalFormatting>
  <conditionalFormatting sqref="F18">
    <cfRule type="containsText" dxfId="55" priority="57" operator="containsText" text="AVATAR">
      <formula>NOT(ISERROR(SEARCH("AVATAR",F18)))</formula>
    </cfRule>
    <cfRule type="containsText" dxfId="54" priority="58" operator="containsText" text="LIVE">
      <formula>NOT(ISERROR(SEARCH("LIVE",F18)))</formula>
    </cfRule>
    <cfRule type="containsText" dxfId="53" priority="65" operator="containsText" text="AVATAR">
      <formula>NOT(ISERROR(SEARCH("AVATAR",F18)))</formula>
    </cfRule>
    <cfRule type="containsText" dxfId="52" priority="66" operator="containsText" text="LIVE">
      <formula>NOT(ISERROR(SEARCH("LIVE",F18)))</formula>
    </cfRule>
    <cfRule type="containsText" dxfId="51" priority="73" operator="containsText" text="AVATAR">
      <formula>NOT(ISERROR(SEARCH("AVATAR",F18)))</formula>
    </cfRule>
    <cfRule type="containsText" dxfId="50" priority="74" operator="containsText" text="LIVE">
      <formula>NOT(ISERROR(SEARCH("LIVE",F18)))</formula>
    </cfRule>
    <cfRule type="containsText" dxfId="49" priority="81" operator="containsText" text="AVATAR">
      <formula>NOT(ISERROR(SEARCH("AVATAR",F18)))</formula>
    </cfRule>
    <cfRule type="containsText" dxfId="48" priority="82" operator="containsText" text="LIVE">
      <formula>NOT(ISERROR(SEARCH("LIVE",F18)))</formula>
    </cfRule>
    <cfRule type="containsText" dxfId="47" priority="89" operator="containsText" text="AVATAR">
      <formula>NOT(ISERROR(SEARCH("AVATAR",F18)))</formula>
    </cfRule>
    <cfRule type="containsText" dxfId="46" priority="90" operator="containsText" text="LIVE">
      <formula>NOT(ISERROR(SEARCH("LIVE",F18)))</formula>
    </cfRule>
  </conditionalFormatting>
  <conditionalFormatting sqref="F18:F20">
    <cfRule type="containsText" dxfId="45" priority="49" operator="containsText" text="AVATAR">
      <formula>NOT(ISERROR(SEARCH("AVATAR",F18)))</formula>
    </cfRule>
    <cfRule type="containsText" dxfId="44" priority="50" operator="containsText" text="LIVE">
      <formula>NOT(ISERROR(SEARCH("LIVE",F18)))</formula>
    </cfRule>
  </conditionalFormatting>
  <conditionalFormatting sqref="F19">
    <cfRule type="containsText" dxfId="43" priority="13" operator="containsText" text="AVATAR">
      <formula>NOT(ISERROR(SEARCH("AVATAR",F19)))</formula>
    </cfRule>
    <cfRule type="containsText" dxfId="42" priority="14" operator="containsText" text="LIVE">
      <formula>NOT(ISERROR(SEARCH("LIVE",F19)))</formula>
    </cfRule>
    <cfRule type="containsText" dxfId="41" priority="21" operator="containsText" text="AVATAR">
      <formula>NOT(ISERROR(SEARCH("AVATAR",F19)))</formula>
    </cfRule>
    <cfRule type="containsText" dxfId="40" priority="22" operator="containsText" text="LIVE">
      <formula>NOT(ISERROR(SEARCH("LIVE",F19)))</formula>
    </cfRule>
    <cfRule type="containsText" dxfId="39" priority="27" operator="containsText" text="AVATAR">
      <formula>NOT(ISERROR(SEARCH("AVATAR",F19)))</formula>
    </cfRule>
    <cfRule type="containsText" dxfId="38" priority="28" operator="containsText" text="LIVE">
      <formula>NOT(ISERROR(SEARCH("LIVE",F19)))</formula>
    </cfRule>
    <cfRule type="containsText" dxfId="37" priority="33" operator="containsText" text="AVATAR">
      <formula>NOT(ISERROR(SEARCH("AVATAR",F19)))</formula>
    </cfRule>
    <cfRule type="containsText" dxfId="36" priority="34" operator="containsText" text="LIVE">
      <formula>NOT(ISERROR(SEARCH("LIVE",F19)))</formula>
    </cfRule>
    <cfRule type="containsText" dxfId="35" priority="41" operator="containsText" text="AVATAR">
      <formula>NOT(ISERROR(SEARCH("AVATAR",F19)))</formula>
    </cfRule>
    <cfRule type="containsText" dxfId="34" priority="42" operator="containsText" text="LIVE">
      <formula>NOT(ISERROR(SEARCH("LIVE",F19)))</formula>
    </cfRule>
  </conditionalFormatting>
  <conditionalFormatting sqref="L17 N17:V17">
    <cfRule type="expression" dxfId="33" priority="101">
      <formula>$V17="X"</formula>
    </cfRule>
    <cfRule type="expression" dxfId="32" priority="102">
      <formula>$V17="O"</formula>
    </cfRule>
  </conditionalFormatting>
  <conditionalFormatting sqref="L18 N18:V18">
    <cfRule type="expression" dxfId="31" priority="55">
      <formula>$V18="X"</formula>
    </cfRule>
    <cfRule type="expression" dxfId="30" priority="56">
      <formula>$V18="O"</formula>
    </cfRule>
    <cfRule type="expression" dxfId="29" priority="63">
      <formula>$V18="X"</formula>
    </cfRule>
    <cfRule type="expression" dxfId="28" priority="64">
      <formula>$V18="O"</formula>
    </cfRule>
    <cfRule type="expression" dxfId="27" priority="71">
      <formula>$V18="X"</formula>
    </cfRule>
    <cfRule type="expression" dxfId="26" priority="72">
      <formula>$V18="O"</formula>
    </cfRule>
    <cfRule type="expression" dxfId="25" priority="79">
      <formula>$V18="X"</formula>
    </cfRule>
    <cfRule type="expression" dxfId="24" priority="80">
      <formula>$V18="O"</formula>
    </cfRule>
    <cfRule type="expression" dxfId="23" priority="87">
      <formula>$V18="X"</formula>
    </cfRule>
    <cfRule type="expression" dxfId="22" priority="88">
      <formula>$V18="O"</formula>
    </cfRule>
  </conditionalFormatting>
  <conditionalFormatting sqref="L18:L20 N18:V20">
    <cfRule type="expression" dxfId="21" priority="47">
      <formula>$V18="X"</formula>
    </cfRule>
    <cfRule type="expression" dxfId="20" priority="48">
      <formula>$V18="O"</formula>
    </cfRule>
  </conditionalFormatting>
  <conditionalFormatting sqref="L19 N19:V19">
    <cfRule type="expression" dxfId="19" priority="19">
      <formula>$V19="X"</formula>
    </cfRule>
    <cfRule type="expression" dxfId="18" priority="20">
      <formula>$V19="O"</formula>
    </cfRule>
    <cfRule type="expression" dxfId="17" priority="39">
      <formula>$V19="X"</formula>
    </cfRule>
    <cfRule type="expression" dxfId="16" priority="40">
      <formula>$V19="O"</formula>
    </cfRule>
  </conditionalFormatting>
  <conditionalFormatting sqref="M30">
    <cfRule type="expression" dxfId="15" priority="119">
      <formula>$V30="X"</formula>
    </cfRule>
    <cfRule type="expression" dxfId="14" priority="120">
      <formula>$V30="O"</formula>
    </cfRule>
    <cfRule type="containsText" dxfId="13" priority="121" operator="containsText" text="AVATAR">
      <formula>NOT(ISERROR(SEARCH("AVATAR",M30)))</formula>
    </cfRule>
    <cfRule type="containsText" dxfId="12" priority="122" operator="containsText" text="LIVE">
      <formula>NOT(ISERROR(SEARCH("LIVE",M30)))</formula>
    </cfRule>
  </conditionalFormatting>
  <conditionalFormatting sqref="O30">
    <cfRule type="expression" dxfId="11" priority="115">
      <formula>$V30="X"</formula>
    </cfRule>
    <cfRule type="expression" dxfId="10" priority="116">
      <formula>$V30="O"</formula>
    </cfRule>
    <cfRule type="containsText" dxfId="9" priority="117" operator="containsText" text="AVATAR">
      <formula>NOT(ISERROR(SEARCH("AVATAR",O30)))</formula>
    </cfRule>
    <cfRule type="containsText" dxfId="8" priority="118" operator="containsText" text="LIVE">
      <formula>NOT(ISERROR(SEARCH("LIVE",O30)))</formula>
    </cfRule>
  </conditionalFormatting>
  <conditionalFormatting sqref="R30">
    <cfRule type="expression" dxfId="7" priority="111">
      <formula>$V30="X"</formula>
    </cfRule>
    <cfRule type="expression" dxfId="6" priority="112">
      <formula>$V30="O"</formula>
    </cfRule>
    <cfRule type="containsText" dxfId="5" priority="113" operator="containsText" text="AVATAR">
      <formula>NOT(ISERROR(SEARCH("AVATAR",R30)))</formula>
    </cfRule>
    <cfRule type="containsText" dxfId="4" priority="114" operator="containsText" text="LIVE">
      <formula>NOT(ISERROR(SEARCH("LIVE",R30)))</formula>
    </cfRule>
  </conditionalFormatting>
  <conditionalFormatting sqref="T30">
    <cfRule type="expression" dxfId="3" priority="107">
      <formula>$V30="X"</formula>
    </cfRule>
    <cfRule type="expression" dxfId="2" priority="108">
      <formula>$V30="O"</formula>
    </cfRule>
    <cfRule type="containsText" dxfId="1" priority="109" operator="containsText" text="AVATAR">
      <formula>NOT(ISERROR(SEARCH("AVATAR",T30)))</formula>
    </cfRule>
    <cfRule type="containsText" dxfId="0" priority="110" operator="containsText" text="LIVE">
      <formula>NOT(ISERROR(SEARCH("LIVE",T30)))</formula>
    </cfRule>
  </conditionalFormatting>
  <dataValidations count="3">
    <dataValidation type="list" allowBlank="1" showInputMessage="1" showErrorMessage="1" sqref="V4:V21" xr:uid="{10686402-9358-423B-AF95-29B997AB99B5}">
      <formula1>"O, X"</formula1>
    </dataValidation>
    <dataValidation type="list" allowBlank="1" showInputMessage="1" showErrorMessage="1" sqref="F11:F21" xr:uid="{55C5D201-3C88-4FEE-975F-C4E6B648B08F}">
      <formula1>"LIVE, AVATAR"</formula1>
    </dataValidation>
    <dataValidation type="list" allowBlank="1" showInputMessage="1" showErrorMessage="1" sqref="F4:F10" xr:uid="{324BB008-D8F4-4689-AF2E-3B9AA5D3D0A5}">
      <formula1>"Rolling, Share"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Rolling Calculator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Romar</dc:creator>
  <cp:lastModifiedBy>Romar</cp:lastModifiedBy>
  <dcterms:created xsi:type="dcterms:W3CDTF">2026-07-29T03:09:34Z</dcterms:created>
  <dcterms:modified xsi:type="dcterms:W3CDTF">2026-07-29T03:09:48Z</dcterms:modified>
</cp:coreProperties>
</file>